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ahongirikromov/Desktop/"/>
    </mc:Choice>
  </mc:AlternateContent>
  <xr:revisionPtr revIDLastSave="0" documentId="8_{2F971E2D-90A9-F84E-803C-59E44DCFF53C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Tushum va Harajatlar" sheetId="1" r:id="rId1"/>
    <sheet name="MIZAN" sheetId="2" r:id="rId2"/>
    <sheet name="Settings" sheetId="3" r:id="rId3"/>
    <sheet name="Xodimlar va Soat narxi" sheetId="4" r:id="rId4"/>
    <sheet name="Texnika va Overhead" sheetId="5" r:id="rId5"/>
    <sheet name="Proekt vaqt va Risk" sheetId="6" r:id="rId6"/>
    <sheet name="Proekt Byudjet" sheetId="7" r:id="rId7"/>
    <sheet name="Dashboard" sheetId="8" r:id="rId8"/>
    <sheet name="Xodimlar KPI" sheetId="9" r:id="rId9"/>
  </sheets>
  <definedNames>
    <definedName name="_xlnm._FilterDatabase" localSheetId="1" hidden="1">MIZAN!$A$2:$O$284</definedName>
    <definedName name="_xlnm._FilterDatabase" localSheetId="6" hidden="1">'Proekt Byudjet'!$A$3:$X$55</definedName>
    <definedName name="_xlnm._FilterDatabase" localSheetId="5" hidden="1">'Proekt vaqt va Risk'!$A$3:$U$24</definedName>
    <definedName name="_xlnm._FilterDatabase" localSheetId="4" hidden="1">'Texnika va Overhead'!$A$4:$G$29</definedName>
    <definedName name="_xlnm._FilterDatabase" localSheetId="0" hidden="1">'Tushum va Harajatlar'!$A$2:$U$275</definedName>
    <definedName name="_xlnm._FilterDatabase" localSheetId="8" hidden="1">'Xodimlar KPI'!$A$3:$O$34</definedName>
    <definedName name="_xlnm._FilterDatabase" localSheetId="3" hidden="1">'Xodimlar va Soat narxi'!$A$3:$R$41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5" i="9" l="1"/>
  <c r="G25" i="9"/>
  <c r="F25" i="9"/>
  <c r="H24" i="9"/>
  <c r="G24" i="9"/>
  <c r="F24" i="9"/>
  <c r="G22" i="9"/>
  <c r="F22" i="9"/>
  <c r="G20" i="9"/>
  <c r="F20" i="9"/>
  <c r="H20" i="9" s="1"/>
  <c r="G19" i="9"/>
  <c r="F19" i="9"/>
  <c r="H19" i="9" s="1"/>
  <c r="G17" i="9"/>
  <c r="F17" i="9"/>
  <c r="H17" i="9" s="1"/>
  <c r="G16" i="9"/>
  <c r="F16" i="9"/>
  <c r="H16" i="9" s="1"/>
  <c r="H14" i="9"/>
  <c r="G14" i="9"/>
  <c r="F14" i="9"/>
  <c r="G13" i="9"/>
  <c r="H13" i="9" s="1"/>
  <c r="F13" i="9"/>
  <c r="G11" i="9"/>
  <c r="F11" i="9"/>
  <c r="H11" i="9" s="1"/>
  <c r="H10" i="9"/>
  <c r="G10" i="9"/>
  <c r="F10" i="9"/>
  <c r="H9" i="9"/>
  <c r="G9" i="9"/>
  <c r="F9" i="9"/>
  <c r="G8" i="9"/>
  <c r="F8" i="9"/>
  <c r="H8" i="9" s="1"/>
  <c r="G6" i="9"/>
  <c r="F6" i="9"/>
  <c r="H6" i="9" s="1"/>
  <c r="G5" i="9"/>
  <c r="F5" i="9"/>
  <c r="H5" i="9" s="1"/>
  <c r="H33" i="8"/>
  <c r="G33" i="8"/>
  <c r="G32" i="8"/>
  <c r="H32" i="8" s="1"/>
  <c r="H31" i="8"/>
  <c r="G31" i="8"/>
  <c r="G30" i="8"/>
  <c r="H30" i="8" s="1"/>
  <c r="G29" i="8"/>
  <c r="H29" i="8" s="1"/>
  <c r="C25" i="8"/>
  <c r="E24" i="8"/>
  <c r="E23" i="8"/>
  <c r="E22" i="8"/>
  <c r="E21" i="8"/>
  <c r="E20" i="8"/>
  <c r="E19" i="8"/>
  <c r="E18" i="8"/>
  <c r="E25" i="8" s="1"/>
  <c r="C10" i="8"/>
  <c r="E10" i="8" s="1"/>
  <c r="C9" i="8"/>
  <c r="C11" i="8" s="1"/>
  <c r="E11" i="8" s="1"/>
  <c r="G50" i="7"/>
  <c r="G29" i="7"/>
  <c r="G25" i="7"/>
  <c r="D25" i="7"/>
  <c r="C25" i="7"/>
  <c r="J24" i="7"/>
  <c r="Q24" i="7" s="1"/>
  <c r="B24" i="7"/>
  <c r="K23" i="7"/>
  <c r="R23" i="7" s="1"/>
  <c r="J23" i="7"/>
  <c r="Q23" i="7" s="1"/>
  <c r="B23" i="7"/>
  <c r="Q22" i="7"/>
  <c r="J22" i="7"/>
  <c r="B22" i="7"/>
  <c r="J21" i="7"/>
  <c r="Q21" i="7" s="1"/>
  <c r="B21" i="7"/>
  <c r="R20" i="7"/>
  <c r="K20" i="7"/>
  <c r="J20" i="7"/>
  <c r="Q20" i="7" s="1"/>
  <c r="B20" i="7"/>
  <c r="R19" i="7"/>
  <c r="Q19" i="7"/>
  <c r="J19" i="7"/>
  <c r="B19" i="7"/>
  <c r="Q18" i="7"/>
  <c r="J18" i="7"/>
  <c r="B18" i="7"/>
  <c r="K17" i="7"/>
  <c r="R17" i="7" s="1"/>
  <c r="J17" i="7"/>
  <c r="Q17" i="7" s="1"/>
  <c r="B17" i="7"/>
  <c r="J16" i="7"/>
  <c r="Q16" i="7" s="1"/>
  <c r="B16" i="7"/>
  <c r="R15" i="7"/>
  <c r="Q15" i="7"/>
  <c r="J15" i="7"/>
  <c r="B15" i="7"/>
  <c r="J14" i="7"/>
  <c r="Q14" i="7" s="1"/>
  <c r="B14" i="7"/>
  <c r="Q13" i="7"/>
  <c r="J13" i="7"/>
  <c r="B13" i="7"/>
  <c r="R12" i="7"/>
  <c r="Q12" i="7"/>
  <c r="J12" i="7"/>
  <c r="B12" i="7"/>
  <c r="J11" i="7"/>
  <c r="Q11" i="7" s="1"/>
  <c r="B11" i="7"/>
  <c r="R10" i="7"/>
  <c r="Q10" i="7"/>
  <c r="K10" i="7"/>
  <c r="J10" i="7"/>
  <c r="B10" i="7"/>
  <c r="R9" i="7"/>
  <c r="Q9" i="7"/>
  <c r="K9" i="7"/>
  <c r="J9" i="7"/>
  <c r="B9" i="7"/>
  <c r="J8" i="7"/>
  <c r="Q8" i="7" s="1"/>
  <c r="B8" i="7"/>
  <c r="K7" i="7"/>
  <c r="R7" i="7" s="1"/>
  <c r="J7" i="7"/>
  <c r="Q7" i="7" s="1"/>
  <c r="B7" i="7"/>
  <c r="J6" i="7"/>
  <c r="Q6" i="7" s="1"/>
  <c r="B6" i="7"/>
  <c r="Q5" i="7"/>
  <c r="J5" i="7"/>
  <c r="B5" i="7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S23" i="6"/>
  <c r="K24" i="7" s="1"/>
  <c r="R24" i="7" s="1"/>
  <c r="S22" i="6"/>
  <c r="S21" i="6"/>
  <c r="K22" i="7" s="1"/>
  <c r="R22" i="7" s="1"/>
  <c r="S20" i="6"/>
  <c r="K21" i="7" s="1"/>
  <c r="R21" i="7" s="1"/>
  <c r="S19" i="6"/>
  <c r="S18" i="6"/>
  <c r="K19" i="7" s="1"/>
  <c r="S17" i="6"/>
  <c r="K18" i="7" s="1"/>
  <c r="R18" i="7" s="1"/>
  <c r="S16" i="6"/>
  <c r="S15" i="6"/>
  <c r="K16" i="7" s="1"/>
  <c r="R16" i="7" s="1"/>
  <c r="S14" i="6"/>
  <c r="K15" i="7" s="1"/>
  <c r="S13" i="6"/>
  <c r="K14" i="7" s="1"/>
  <c r="R14" i="7" s="1"/>
  <c r="S12" i="6"/>
  <c r="K13" i="7" s="1"/>
  <c r="R13" i="7" s="1"/>
  <c r="S11" i="6"/>
  <c r="K12" i="7" s="1"/>
  <c r="S10" i="6"/>
  <c r="K11" i="7" s="1"/>
  <c r="R11" i="7" s="1"/>
  <c r="S9" i="6"/>
  <c r="S8" i="6"/>
  <c r="S7" i="6"/>
  <c r="K8" i="7" s="1"/>
  <c r="R8" i="7" s="1"/>
  <c r="S6" i="6"/>
  <c r="S5" i="6"/>
  <c r="K6" i="7" s="1"/>
  <c r="R6" i="7" s="1"/>
  <c r="S4" i="6"/>
  <c r="C29" i="5"/>
  <c r="E28" i="5"/>
  <c r="E27" i="5"/>
  <c r="D27" i="5"/>
  <c r="E26" i="5"/>
  <c r="E25" i="5"/>
  <c r="E24" i="5"/>
  <c r="D24" i="5"/>
  <c r="E23" i="5"/>
  <c r="E22" i="5"/>
  <c r="D22" i="5"/>
  <c r="E21" i="5"/>
  <c r="D21" i="5"/>
  <c r="E20" i="5"/>
  <c r="E29" i="5" s="1"/>
  <c r="E19" i="5"/>
  <c r="C15" i="5"/>
  <c r="E14" i="5"/>
  <c r="G14" i="5" s="1"/>
  <c r="G13" i="5"/>
  <c r="E13" i="5"/>
  <c r="G12" i="5"/>
  <c r="E12" i="5"/>
  <c r="G11" i="5"/>
  <c r="E11" i="5"/>
  <c r="E10" i="5"/>
  <c r="G10" i="5" s="1"/>
  <c r="G9" i="5"/>
  <c r="F9" i="5"/>
  <c r="E9" i="5"/>
  <c r="G8" i="5"/>
  <c r="F8" i="5"/>
  <c r="E8" i="5"/>
  <c r="E7" i="5"/>
  <c r="F6" i="5"/>
  <c r="E6" i="5"/>
  <c r="G6" i="5" s="1"/>
  <c r="E5" i="5"/>
  <c r="O33" i="4"/>
  <c r="I33" i="4"/>
  <c r="H33" i="4"/>
  <c r="G33" i="4"/>
  <c r="H32" i="4"/>
  <c r="G32" i="4"/>
  <c r="I32" i="4" s="1"/>
  <c r="O31" i="4"/>
  <c r="H31" i="4"/>
  <c r="G31" i="4"/>
  <c r="I31" i="4" s="1"/>
  <c r="H30" i="4"/>
  <c r="I30" i="4" s="1"/>
  <c r="G30" i="4"/>
  <c r="H29" i="4"/>
  <c r="G29" i="4"/>
  <c r="I29" i="4" s="1"/>
  <c r="H28" i="4"/>
  <c r="G28" i="4"/>
  <c r="I28" i="4" s="1"/>
  <c r="O27" i="4"/>
  <c r="H27" i="4"/>
  <c r="G27" i="4"/>
  <c r="L25" i="4"/>
  <c r="I25" i="4"/>
  <c r="H25" i="4"/>
  <c r="G25" i="4"/>
  <c r="L24" i="4"/>
  <c r="H24" i="4"/>
  <c r="G24" i="4"/>
  <c r="I24" i="4" s="1"/>
  <c r="L22" i="4"/>
  <c r="H22" i="4"/>
  <c r="G22" i="4"/>
  <c r="I22" i="4" s="1"/>
  <c r="L20" i="4"/>
  <c r="H20" i="4"/>
  <c r="G20" i="4"/>
  <c r="I20" i="4" s="1"/>
  <c r="L19" i="4"/>
  <c r="I19" i="4"/>
  <c r="H19" i="4"/>
  <c r="G19" i="4"/>
  <c r="L17" i="4"/>
  <c r="H17" i="4"/>
  <c r="G17" i="4"/>
  <c r="I17" i="4" s="1"/>
  <c r="O16" i="4"/>
  <c r="L16" i="4"/>
  <c r="H16" i="4"/>
  <c r="G16" i="4"/>
  <c r="L14" i="4"/>
  <c r="I14" i="4"/>
  <c r="H14" i="4"/>
  <c r="G14" i="4"/>
  <c r="L13" i="4"/>
  <c r="I13" i="4"/>
  <c r="H13" i="4"/>
  <c r="G13" i="4"/>
  <c r="O11" i="4"/>
  <c r="L11" i="4"/>
  <c r="H11" i="4"/>
  <c r="G11" i="4"/>
  <c r="O10" i="4"/>
  <c r="L10" i="4"/>
  <c r="H10" i="4"/>
  <c r="G10" i="4"/>
  <c r="I10" i="4" s="1"/>
  <c r="O9" i="4"/>
  <c r="L9" i="4"/>
  <c r="H9" i="4"/>
  <c r="G9" i="4"/>
  <c r="I9" i="4" s="1"/>
  <c r="L8" i="4"/>
  <c r="H8" i="4"/>
  <c r="G8" i="4"/>
  <c r="I8" i="4" s="1"/>
  <c r="L6" i="4"/>
  <c r="H6" i="4"/>
  <c r="G6" i="4"/>
  <c r="I6" i="4" s="1"/>
  <c r="O5" i="4"/>
  <c r="L5" i="4"/>
  <c r="I5" i="4"/>
  <c r="H5" i="4"/>
  <c r="G5" i="4"/>
  <c r="B8" i="3"/>
  <c r="F13" i="5" s="1"/>
  <c r="B5" i="3"/>
  <c r="M333" i="2"/>
  <c r="L333" i="2"/>
  <c r="M332" i="2"/>
  <c r="L332" i="2"/>
  <c r="N331" i="2"/>
  <c r="M331" i="2"/>
  <c r="L331" i="2"/>
  <c r="M330" i="2"/>
  <c r="L330" i="2"/>
  <c r="N330" i="2" s="1"/>
  <c r="M329" i="2"/>
  <c r="L329" i="2"/>
  <c r="N329" i="2" s="1"/>
  <c r="N328" i="2"/>
  <c r="M328" i="2"/>
  <c r="L328" i="2"/>
  <c r="M327" i="2"/>
  <c r="N327" i="2" s="1"/>
  <c r="L327" i="2"/>
  <c r="N326" i="2"/>
  <c r="M326" i="2"/>
  <c r="L326" i="2"/>
  <c r="N325" i="2"/>
  <c r="M325" i="2"/>
  <c r="L325" i="2"/>
  <c r="M324" i="2"/>
  <c r="L324" i="2"/>
  <c r="M323" i="2"/>
  <c r="L323" i="2"/>
  <c r="N322" i="2"/>
  <c r="M322" i="2"/>
  <c r="L322" i="2"/>
  <c r="N321" i="2"/>
  <c r="M321" i="2"/>
  <c r="L321" i="2"/>
  <c r="M320" i="2"/>
  <c r="L320" i="2"/>
  <c r="N320" i="2" s="1"/>
  <c r="M319" i="2"/>
  <c r="N319" i="2" s="1"/>
  <c r="L319" i="2"/>
  <c r="M318" i="2"/>
  <c r="N318" i="2" s="1"/>
  <c r="L318" i="2"/>
  <c r="M317" i="2"/>
  <c r="N317" i="2" s="1"/>
  <c r="L317" i="2"/>
  <c r="M316" i="2"/>
  <c r="N316" i="2" s="1"/>
  <c r="L316" i="2"/>
  <c r="M315" i="2"/>
  <c r="L315" i="2"/>
  <c r="N315" i="2" s="1"/>
  <c r="M314" i="2"/>
  <c r="L314" i="2"/>
  <c r="K314" i="2"/>
  <c r="M313" i="2"/>
  <c r="L313" i="2"/>
  <c r="K313" i="2"/>
  <c r="N312" i="2"/>
  <c r="M312" i="2"/>
  <c r="L312" i="2"/>
  <c r="K312" i="2"/>
  <c r="N311" i="2"/>
  <c r="M311" i="2"/>
  <c r="L311" i="2"/>
  <c r="K311" i="2"/>
  <c r="M310" i="2"/>
  <c r="N310" i="2" s="1"/>
  <c r="L310" i="2"/>
  <c r="K310" i="2"/>
  <c r="M309" i="2"/>
  <c r="L309" i="2"/>
  <c r="N309" i="2" s="1"/>
  <c r="K309" i="2"/>
  <c r="M308" i="2"/>
  <c r="L308" i="2"/>
  <c r="N308" i="2" s="1"/>
  <c r="K308" i="2"/>
  <c r="N307" i="2"/>
  <c r="M307" i="2"/>
  <c r="L307" i="2"/>
  <c r="K307" i="2"/>
  <c r="M306" i="2"/>
  <c r="L306" i="2"/>
  <c r="N306" i="2" s="1"/>
  <c r="K306" i="2"/>
  <c r="N305" i="2"/>
  <c r="M305" i="2"/>
  <c r="L305" i="2"/>
  <c r="K305" i="2"/>
  <c r="M304" i="2"/>
  <c r="L304" i="2"/>
  <c r="N304" i="2" s="1"/>
  <c r="K304" i="2"/>
  <c r="M303" i="2"/>
  <c r="N303" i="2" s="1"/>
  <c r="L303" i="2"/>
  <c r="K303" i="2"/>
  <c r="M302" i="2"/>
  <c r="N302" i="2" s="1"/>
  <c r="L302" i="2"/>
  <c r="K302" i="2"/>
  <c r="M301" i="2"/>
  <c r="L301" i="2"/>
  <c r="N301" i="2" s="1"/>
  <c r="K301" i="2"/>
  <c r="M300" i="2"/>
  <c r="L300" i="2"/>
  <c r="N300" i="2" s="1"/>
  <c r="K300" i="2"/>
  <c r="M299" i="2"/>
  <c r="L299" i="2"/>
  <c r="K299" i="2"/>
  <c r="M298" i="2"/>
  <c r="L298" i="2"/>
  <c r="N298" i="2" s="1"/>
  <c r="K298" i="2"/>
  <c r="M297" i="2"/>
  <c r="N297" i="2" s="1"/>
  <c r="L297" i="2"/>
  <c r="K297" i="2"/>
  <c r="M296" i="2"/>
  <c r="L296" i="2"/>
  <c r="N296" i="2" s="1"/>
  <c r="K296" i="2"/>
  <c r="M295" i="2"/>
  <c r="L295" i="2"/>
  <c r="N295" i="2" s="1"/>
  <c r="K295" i="2"/>
  <c r="M294" i="2"/>
  <c r="L294" i="2"/>
  <c r="K294" i="2"/>
  <c r="N293" i="2"/>
  <c r="M293" i="2"/>
  <c r="L293" i="2"/>
  <c r="K293" i="2"/>
  <c r="M292" i="2"/>
  <c r="N292" i="2" s="1"/>
  <c r="L292" i="2"/>
  <c r="K292" i="2"/>
  <c r="M291" i="2"/>
  <c r="L291" i="2"/>
  <c r="N291" i="2" s="1"/>
  <c r="K291" i="2"/>
  <c r="N290" i="2"/>
  <c r="M290" i="2"/>
  <c r="L290" i="2"/>
  <c r="K290" i="2"/>
  <c r="M289" i="2"/>
  <c r="L289" i="2"/>
  <c r="K289" i="2"/>
  <c r="M288" i="2"/>
  <c r="L288" i="2"/>
  <c r="K288" i="2"/>
  <c r="N287" i="2"/>
  <c r="M287" i="2"/>
  <c r="L287" i="2"/>
  <c r="K287" i="2"/>
  <c r="N286" i="2"/>
  <c r="M286" i="2"/>
  <c r="L286" i="2"/>
  <c r="K286" i="2"/>
  <c r="M285" i="2"/>
  <c r="L285" i="2"/>
  <c r="N285" i="2" s="1"/>
  <c r="K285" i="2"/>
  <c r="M284" i="2"/>
  <c r="L284" i="2"/>
  <c r="N284" i="2" s="1"/>
  <c r="K284" i="2"/>
  <c r="M283" i="2"/>
  <c r="L283" i="2"/>
  <c r="N283" i="2" s="1"/>
  <c r="K283" i="2"/>
  <c r="M282" i="2"/>
  <c r="N282" i="2" s="1"/>
  <c r="L282" i="2"/>
  <c r="K282" i="2"/>
  <c r="N281" i="2"/>
  <c r="M281" i="2"/>
  <c r="L281" i="2"/>
  <c r="K281" i="2"/>
  <c r="N280" i="2"/>
  <c r="M280" i="2"/>
  <c r="L280" i="2"/>
  <c r="K280" i="2"/>
  <c r="M279" i="2"/>
  <c r="L279" i="2"/>
  <c r="N279" i="2" s="1"/>
  <c r="K279" i="2"/>
  <c r="N278" i="2"/>
  <c r="M278" i="2"/>
  <c r="L278" i="2"/>
  <c r="K278" i="2"/>
  <c r="N277" i="2"/>
  <c r="M277" i="2"/>
  <c r="L277" i="2"/>
  <c r="K277" i="2"/>
  <c r="M276" i="2"/>
  <c r="L276" i="2"/>
  <c r="N276" i="2" s="1"/>
  <c r="K276" i="2"/>
  <c r="M275" i="2"/>
  <c r="L275" i="2"/>
  <c r="K275" i="2"/>
  <c r="M274" i="2"/>
  <c r="L274" i="2"/>
  <c r="K274" i="2"/>
  <c r="M273" i="2"/>
  <c r="N273" i="2" s="1"/>
  <c r="L273" i="2"/>
  <c r="K273" i="2"/>
  <c r="M272" i="2"/>
  <c r="N272" i="2" s="1"/>
  <c r="L272" i="2"/>
  <c r="K272" i="2"/>
  <c r="M271" i="2"/>
  <c r="L271" i="2"/>
  <c r="N271" i="2" s="1"/>
  <c r="K271" i="2"/>
  <c r="M270" i="2"/>
  <c r="L270" i="2"/>
  <c r="N270" i="2" s="1"/>
  <c r="K270" i="2"/>
  <c r="M269" i="2"/>
  <c r="L269" i="2"/>
  <c r="N269" i="2" s="1"/>
  <c r="K269" i="2"/>
  <c r="M268" i="2"/>
  <c r="L268" i="2"/>
  <c r="N268" i="2" s="1"/>
  <c r="K268" i="2"/>
  <c r="M267" i="2"/>
  <c r="N267" i="2" s="1"/>
  <c r="L267" i="2"/>
  <c r="K267" i="2"/>
  <c r="M266" i="2"/>
  <c r="L266" i="2"/>
  <c r="N266" i="2" s="1"/>
  <c r="K266" i="2"/>
  <c r="N265" i="2"/>
  <c r="M265" i="2"/>
  <c r="L265" i="2"/>
  <c r="K265" i="2"/>
  <c r="M264" i="2"/>
  <c r="L264" i="2"/>
  <c r="N264" i="2" s="1"/>
  <c r="K264" i="2"/>
  <c r="M263" i="2"/>
  <c r="L263" i="2"/>
  <c r="N263" i="2" s="1"/>
  <c r="K263" i="2"/>
  <c r="M262" i="2"/>
  <c r="L262" i="2"/>
  <c r="N262" i="2" s="1"/>
  <c r="K262" i="2"/>
  <c r="N261" i="2"/>
  <c r="M261" i="2"/>
  <c r="L261" i="2"/>
  <c r="K261" i="2"/>
  <c r="M260" i="2"/>
  <c r="N260" i="2" s="1"/>
  <c r="L260" i="2"/>
  <c r="K260" i="2"/>
  <c r="N259" i="2"/>
  <c r="M259" i="2"/>
  <c r="L259" i="2"/>
  <c r="K259" i="2"/>
  <c r="M258" i="2"/>
  <c r="L258" i="2"/>
  <c r="N258" i="2" s="1"/>
  <c r="K258" i="2"/>
  <c r="M257" i="2"/>
  <c r="L257" i="2"/>
  <c r="N257" i="2" s="1"/>
  <c r="K257" i="2"/>
  <c r="N256" i="2"/>
  <c r="M256" i="2"/>
  <c r="L256" i="2"/>
  <c r="K256" i="2"/>
  <c r="M255" i="2"/>
  <c r="N255" i="2" s="1"/>
  <c r="L255" i="2"/>
  <c r="K255" i="2"/>
  <c r="M254" i="2"/>
  <c r="L254" i="2"/>
  <c r="N254" i="2" s="1"/>
  <c r="K254" i="2"/>
  <c r="M253" i="2"/>
  <c r="L253" i="2"/>
  <c r="N253" i="2" s="1"/>
  <c r="K253" i="2"/>
  <c r="M252" i="2"/>
  <c r="L252" i="2"/>
  <c r="N252" i="2" s="1"/>
  <c r="K252" i="2"/>
  <c r="N251" i="2"/>
  <c r="M251" i="2"/>
  <c r="L251" i="2"/>
  <c r="K251" i="2"/>
  <c r="M250" i="2"/>
  <c r="N250" i="2" s="1"/>
  <c r="L250" i="2"/>
  <c r="K250" i="2"/>
  <c r="M249" i="2"/>
  <c r="N249" i="2" s="1"/>
  <c r="L249" i="2"/>
  <c r="K249" i="2"/>
  <c r="M248" i="2"/>
  <c r="L248" i="2"/>
  <c r="K248" i="2"/>
  <c r="M247" i="2"/>
  <c r="L247" i="2"/>
  <c r="N247" i="2" s="1"/>
  <c r="K247" i="2"/>
  <c r="N246" i="2"/>
  <c r="M246" i="2"/>
  <c r="L246" i="2"/>
  <c r="K246" i="2"/>
  <c r="N245" i="2"/>
  <c r="M245" i="2"/>
  <c r="L245" i="2"/>
  <c r="K245" i="2"/>
  <c r="M244" i="2"/>
  <c r="L244" i="2"/>
  <c r="N244" i="2" s="1"/>
  <c r="K244" i="2"/>
  <c r="M243" i="2"/>
  <c r="L243" i="2"/>
  <c r="N243" i="2" s="1"/>
  <c r="K243" i="2"/>
  <c r="M242" i="2"/>
  <c r="L242" i="2"/>
  <c r="N242" i="2" s="1"/>
  <c r="K242" i="2"/>
  <c r="N241" i="2"/>
  <c r="M241" i="2"/>
  <c r="L241" i="2"/>
  <c r="K241" i="2"/>
  <c r="M240" i="2"/>
  <c r="N240" i="2" s="1"/>
  <c r="L240" i="2"/>
  <c r="K240" i="2"/>
  <c r="M239" i="2"/>
  <c r="L239" i="2"/>
  <c r="N239" i="2" s="1"/>
  <c r="K239" i="2"/>
  <c r="M238" i="2"/>
  <c r="L238" i="2"/>
  <c r="N238" i="2" s="1"/>
  <c r="K238" i="2"/>
  <c r="M237" i="2"/>
  <c r="L237" i="2"/>
  <c r="N237" i="2" s="1"/>
  <c r="K237" i="2"/>
  <c r="N236" i="2"/>
  <c r="M236" i="2"/>
  <c r="L236" i="2"/>
  <c r="K236" i="2"/>
  <c r="M235" i="2"/>
  <c r="N235" i="2" s="1"/>
  <c r="L235" i="2"/>
  <c r="K235" i="2"/>
  <c r="N234" i="2"/>
  <c r="M234" i="2"/>
  <c r="L234" i="2"/>
  <c r="K234" i="2"/>
  <c r="M233" i="2"/>
  <c r="L233" i="2"/>
  <c r="N233" i="2" s="1"/>
  <c r="K233" i="2"/>
  <c r="M232" i="2"/>
  <c r="L232" i="2"/>
  <c r="N232" i="2" s="1"/>
  <c r="K232" i="2"/>
  <c r="N231" i="2"/>
  <c r="M231" i="2"/>
  <c r="L231" i="2"/>
  <c r="K231" i="2"/>
  <c r="M230" i="2"/>
  <c r="N230" i="2" s="1"/>
  <c r="L230" i="2"/>
  <c r="K230" i="2"/>
  <c r="M229" i="2"/>
  <c r="L229" i="2"/>
  <c r="N229" i="2" s="1"/>
  <c r="K229" i="2"/>
  <c r="M228" i="2"/>
  <c r="L228" i="2"/>
  <c r="N228" i="2" s="1"/>
  <c r="K228" i="2"/>
  <c r="M227" i="2"/>
  <c r="L227" i="2"/>
  <c r="N227" i="2" s="1"/>
  <c r="K227" i="2"/>
  <c r="N226" i="2"/>
  <c r="M226" i="2"/>
  <c r="L226" i="2"/>
  <c r="K226" i="2"/>
  <c r="M225" i="2"/>
  <c r="N225" i="2" s="1"/>
  <c r="L225" i="2"/>
  <c r="K225" i="2"/>
  <c r="M224" i="2"/>
  <c r="N224" i="2" s="1"/>
  <c r="L224" i="2"/>
  <c r="K224" i="2"/>
  <c r="M223" i="2"/>
  <c r="L223" i="2"/>
  <c r="K223" i="2"/>
  <c r="M222" i="2"/>
  <c r="L222" i="2"/>
  <c r="N222" i="2" s="1"/>
  <c r="K222" i="2"/>
  <c r="N221" i="2"/>
  <c r="M221" i="2"/>
  <c r="L221" i="2"/>
  <c r="K221" i="2"/>
  <c r="N220" i="2"/>
  <c r="M220" i="2"/>
  <c r="L220" i="2"/>
  <c r="K220" i="2"/>
  <c r="M219" i="2"/>
  <c r="L219" i="2"/>
  <c r="N219" i="2" s="1"/>
  <c r="K219" i="2"/>
  <c r="M218" i="2"/>
  <c r="L218" i="2"/>
  <c r="N218" i="2" s="1"/>
  <c r="K218" i="2"/>
  <c r="M217" i="2"/>
  <c r="L217" i="2"/>
  <c r="N217" i="2" s="1"/>
  <c r="K217" i="2"/>
  <c r="N216" i="2"/>
  <c r="M216" i="2"/>
  <c r="L216" i="2"/>
  <c r="K216" i="2"/>
  <c r="M215" i="2"/>
  <c r="N215" i="2" s="1"/>
  <c r="L215" i="2"/>
  <c r="K215" i="2"/>
  <c r="M214" i="2"/>
  <c r="L214" i="2"/>
  <c r="N214" i="2" s="1"/>
  <c r="K214" i="2"/>
  <c r="M213" i="2"/>
  <c r="L213" i="2"/>
  <c r="N213" i="2" s="1"/>
  <c r="K213" i="2"/>
  <c r="M212" i="2"/>
  <c r="L212" i="2"/>
  <c r="N212" i="2" s="1"/>
  <c r="K212" i="2"/>
  <c r="N211" i="2"/>
  <c r="M211" i="2"/>
  <c r="L211" i="2"/>
  <c r="K211" i="2"/>
  <c r="M210" i="2"/>
  <c r="N210" i="2" s="1"/>
  <c r="L210" i="2"/>
  <c r="K210" i="2"/>
  <c r="N209" i="2"/>
  <c r="M209" i="2"/>
  <c r="L209" i="2"/>
  <c r="K209" i="2"/>
  <c r="M208" i="2"/>
  <c r="L208" i="2"/>
  <c r="N208" i="2" s="1"/>
  <c r="K208" i="2"/>
  <c r="M207" i="2"/>
  <c r="L207" i="2"/>
  <c r="N207" i="2" s="1"/>
  <c r="K207" i="2"/>
  <c r="N206" i="2"/>
  <c r="M206" i="2"/>
  <c r="L206" i="2"/>
  <c r="K206" i="2"/>
  <c r="M205" i="2"/>
  <c r="N205" i="2" s="1"/>
  <c r="L205" i="2"/>
  <c r="K205" i="2"/>
  <c r="M204" i="2"/>
  <c r="L204" i="2"/>
  <c r="N204" i="2" s="1"/>
  <c r="K204" i="2"/>
  <c r="M203" i="2"/>
  <c r="L203" i="2"/>
  <c r="N203" i="2" s="1"/>
  <c r="K203" i="2"/>
  <c r="M202" i="2"/>
  <c r="L202" i="2"/>
  <c r="N202" i="2" s="1"/>
  <c r="K202" i="2"/>
  <c r="N201" i="2"/>
  <c r="M201" i="2"/>
  <c r="L201" i="2"/>
  <c r="K201" i="2"/>
  <c r="M200" i="2"/>
  <c r="N200" i="2" s="1"/>
  <c r="L200" i="2"/>
  <c r="K200" i="2"/>
  <c r="M199" i="2"/>
  <c r="N199" i="2" s="1"/>
  <c r="L199" i="2"/>
  <c r="K199" i="2"/>
  <c r="M198" i="2"/>
  <c r="L198" i="2"/>
  <c r="K198" i="2"/>
  <c r="M197" i="2"/>
  <c r="L197" i="2"/>
  <c r="N197" i="2" s="1"/>
  <c r="K197" i="2"/>
  <c r="N196" i="2"/>
  <c r="M196" i="2"/>
  <c r="L196" i="2"/>
  <c r="K196" i="2"/>
  <c r="N195" i="2"/>
  <c r="M195" i="2"/>
  <c r="L195" i="2"/>
  <c r="K195" i="2"/>
  <c r="M194" i="2"/>
  <c r="L194" i="2"/>
  <c r="N194" i="2" s="1"/>
  <c r="K194" i="2"/>
  <c r="M193" i="2"/>
  <c r="L193" i="2"/>
  <c r="N193" i="2" s="1"/>
  <c r="K193" i="2"/>
  <c r="M192" i="2"/>
  <c r="L192" i="2"/>
  <c r="N192" i="2" s="1"/>
  <c r="K192" i="2"/>
  <c r="N191" i="2"/>
  <c r="M191" i="2"/>
  <c r="L191" i="2"/>
  <c r="K191" i="2"/>
  <c r="M190" i="2"/>
  <c r="N190" i="2" s="1"/>
  <c r="L190" i="2"/>
  <c r="K190" i="2"/>
  <c r="M189" i="2"/>
  <c r="L189" i="2"/>
  <c r="N189" i="2" s="1"/>
  <c r="K189" i="2"/>
  <c r="M188" i="2"/>
  <c r="L188" i="2"/>
  <c r="N188" i="2" s="1"/>
  <c r="K188" i="2"/>
  <c r="M187" i="2"/>
  <c r="L187" i="2"/>
  <c r="N187" i="2" s="1"/>
  <c r="K187" i="2"/>
  <c r="N186" i="2"/>
  <c r="M186" i="2"/>
  <c r="L186" i="2"/>
  <c r="K186" i="2"/>
  <c r="M185" i="2"/>
  <c r="N185" i="2" s="1"/>
  <c r="L185" i="2"/>
  <c r="K185" i="2"/>
  <c r="N184" i="2"/>
  <c r="M184" i="2"/>
  <c r="L184" i="2"/>
  <c r="K184" i="2"/>
  <c r="M183" i="2"/>
  <c r="L183" i="2"/>
  <c r="K183" i="2"/>
  <c r="M182" i="2"/>
  <c r="L182" i="2"/>
  <c r="N182" i="2" s="1"/>
  <c r="K182" i="2"/>
  <c r="N181" i="2"/>
  <c r="M181" i="2"/>
  <c r="L181" i="2"/>
  <c r="K181" i="2"/>
  <c r="M180" i="2"/>
  <c r="N180" i="2" s="1"/>
  <c r="L180" i="2"/>
  <c r="K180" i="2"/>
  <c r="M179" i="2"/>
  <c r="L179" i="2"/>
  <c r="N179" i="2" s="1"/>
  <c r="K179" i="2"/>
  <c r="M178" i="2"/>
  <c r="L178" i="2"/>
  <c r="N178" i="2" s="1"/>
  <c r="K178" i="2"/>
  <c r="M177" i="2"/>
  <c r="L177" i="2"/>
  <c r="N177" i="2" s="1"/>
  <c r="K177" i="2"/>
  <c r="N176" i="2"/>
  <c r="M176" i="2"/>
  <c r="L176" i="2"/>
  <c r="K176" i="2"/>
  <c r="M175" i="2"/>
  <c r="N175" i="2" s="1"/>
  <c r="L175" i="2"/>
  <c r="K175" i="2"/>
  <c r="M174" i="2"/>
  <c r="N174" i="2" s="1"/>
  <c r="L174" i="2"/>
  <c r="K174" i="2"/>
  <c r="M173" i="2"/>
  <c r="L173" i="2"/>
  <c r="K173" i="2"/>
  <c r="M172" i="2"/>
  <c r="L172" i="2"/>
  <c r="N172" i="2" s="1"/>
  <c r="K172" i="2"/>
  <c r="N171" i="2"/>
  <c r="M171" i="2"/>
  <c r="L171" i="2"/>
  <c r="K171" i="2"/>
  <c r="N170" i="2"/>
  <c r="M170" i="2"/>
  <c r="L170" i="2"/>
  <c r="K170" i="2"/>
  <c r="M169" i="2"/>
  <c r="N169" i="2" s="1"/>
  <c r="L169" i="2"/>
  <c r="K169" i="2"/>
  <c r="M168" i="2"/>
  <c r="L168" i="2"/>
  <c r="N168" i="2" s="1"/>
  <c r="K168" i="2"/>
  <c r="M167" i="2"/>
  <c r="L167" i="2"/>
  <c r="N167" i="2" s="1"/>
  <c r="K167" i="2"/>
  <c r="N166" i="2"/>
  <c r="M166" i="2"/>
  <c r="L166" i="2"/>
  <c r="K166" i="2"/>
  <c r="M165" i="2"/>
  <c r="N165" i="2" s="1"/>
  <c r="L165" i="2"/>
  <c r="K165" i="2"/>
  <c r="M164" i="2"/>
  <c r="L164" i="2"/>
  <c r="N164" i="2" s="1"/>
  <c r="K164" i="2"/>
  <c r="M163" i="2"/>
  <c r="L163" i="2"/>
  <c r="N163" i="2" s="1"/>
  <c r="K163" i="2"/>
  <c r="M162" i="2"/>
  <c r="L162" i="2"/>
  <c r="N162" i="2" s="1"/>
  <c r="K162" i="2"/>
  <c r="N161" i="2"/>
  <c r="M161" i="2"/>
  <c r="L161" i="2"/>
  <c r="K161" i="2"/>
  <c r="M160" i="2"/>
  <c r="N160" i="2" s="1"/>
  <c r="L160" i="2"/>
  <c r="K160" i="2"/>
  <c r="N159" i="2"/>
  <c r="M159" i="2"/>
  <c r="L159" i="2"/>
  <c r="K159" i="2"/>
  <c r="M158" i="2"/>
  <c r="L158" i="2"/>
  <c r="N158" i="2" s="1"/>
  <c r="K158" i="2"/>
  <c r="M157" i="2"/>
  <c r="L157" i="2"/>
  <c r="N157" i="2" s="1"/>
  <c r="K157" i="2"/>
  <c r="N156" i="2"/>
  <c r="M156" i="2"/>
  <c r="L156" i="2"/>
  <c r="K156" i="2"/>
  <c r="M155" i="2"/>
  <c r="N155" i="2" s="1"/>
  <c r="L155" i="2"/>
  <c r="K155" i="2"/>
  <c r="M154" i="2"/>
  <c r="L154" i="2"/>
  <c r="N154" i="2" s="1"/>
  <c r="K154" i="2"/>
  <c r="M153" i="2"/>
  <c r="L153" i="2"/>
  <c r="N153" i="2" s="1"/>
  <c r="K153" i="2"/>
  <c r="M152" i="2"/>
  <c r="L152" i="2"/>
  <c r="N152" i="2" s="1"/>
  <c r="K152" i="2"/>
  <c r="N151" i="2"/>
  <c r="M151" i="2"/>
  <c r="L151" i="2"/>
  <c r="K151" i="2"/>
  <c r="M150" i="2"/>
  <c r="N150" i="2" s="1"/>
  <c r="L150" i="2"/>
  <c r="K150" i="2"/>
  <c r="M149" i="2"/>
  <c r="N149" i="2" s="1"/>
  <c r="L149" i="2"/>
  <c r="K149" i="2"/>
  <c r="M148" i="2"/>
  <c r="L148" i="2"/>
  <c r="K148" i="2"/>
  <c r="M147" i="2"/>
  <c r="L147" i="2"/>
  <c r="N147" i="2" s="1"/>
  <c r="K147" i="2"/>
  <c r="N146" i="2"/>
  <c r="M146" i="2"/>
  <c r="L146" i="2"/>
  <c r="K146" i="2"/>
  <c r="N145" i="2"/>
  <c r="M145" i="2"/>
  <c r="L145" i="2"/>
  <c r="K145" i="2"/>
  <c r="M144" i="2"/>
  <c r="N144" i="2" s="1"/>
  <c r="L144" i="2"/>
  <c r="K144" i="2"/>
  <c r="M143" i="2"/>
  <c r="L143" i="2"/>
  <c r="N143" i="2" s="1"/>
  <c r="K143" i="2"/>
  <c r="M142" i="2"/>
  <c r="L142" i="2"/>
  <c r="N142" i="2" s="1"/>
  <c r="K142" i="2"/>
  <c r="N141" i="2"/>
  <c r="M141" i="2"/>
  <c r="L141" i="2"/>
  <c r="K141" i="2"/>
  <c r="M140" i="2"/>
  <c r="N140" i="2" s="1"/>
  <c r="L140" i="2"/>
  <c r="K140" i="2"/>
  <c r="M139" i="2"/>
  <c r="L139" i="2"/>
  <c r="N139" i="2" s="1"/>
  <c r="K139" i="2"/>
  <c r="M138" i="2"/>
  <c r="L138" i="2"/>
  <c r="N138" i="2" s="1"/>
  <c r="K138" i="2"/>
  <c r="M137" i="2"/>
  <c r="L137" i="2"/>
  <c r="N137" i="2" s="1"/>
  <c r="K137" i="2"/>
  <c r="N136" i="2"/>
  <c r="M136" i="2"/>
  <c r="L136" i="2"/>
  <c r="K136" i="2"/>
  <c r="M135" i="2"/>
  <c r="N135" i="2" s="1"/>
  <c r="L135" i="2"/>
  <c r="K135" i="2"/>
  <c r="N134" i="2"/>
  <c r="M134" i="2"/>
  <c r="L134" i="2"/>
  <c r="K134" i="2"/>
  <c r="M133" i="2"/>
  <c r="L133" i="2"/>
  <c r="N133" i="2" s="1"/>
  <c r="K133" i="2"/>
  <c r="M132" i="2"/>
  <c r="L132" i="2"/>
  <c r="N132" i="2" s="1"/>
  <c r="K132" i="2"/>
  <c r="N131" i="2"/>
  <c r="M131" i="2"/>
  <c r="L131" i="2"/>
  <c r="K131" i="2"/>
  <c r="M130" i="2"/>
  <c r="N130" i="2" s="1"/>
  <c r="L130" i="2"/>
  <c r="K130" i="2"/>
  <c r="M129" i="2"/>
  <c r="L129" i="2"/>
  <c r="N129" i="2" s="1"/>
  <c r="K129" i="2"/>
  <c r="M128" i="2"/>
  <c r="L128" i="2"/>
  <c r="N128" i="2" s="1"/>
  <c r="K128" i="2"/>
  <c r="M127" i="2"/>
  <c r="L127" i="2"/>
  <c r="N127" i="2" s="1"/>
  <c r="K127" i="2"/>
  <c r="N126" i="2"/>
  <c r="M126" i="2"/>
  <c r="L126" i="2"/>
  <c r="K126" i="2"/>
  <c r="M125" i="2"/>
  <c r="N125" i="2" s="1"/>
  <c r="L125" i="2"/>
  <c r="K125" i="2"/>
  <c r="M124" i="2"/>
  <c r="N124" i="2" s="1"/>
  <c r="L124" i="2"/>
  <c r="K124" i="2"/>
  <c r="M123" i="2"/>
  <c r="L123" i="2"/>
  <c r="K123" i="2"/>
  <c r="M122" i="2"/>
  <c r="L122" i="2"/>
  <c r="N122" i="2" s="1"/>
  <c r="K122" i="2"/>
  <c r="N121" i="2"/>
  <c r="M121" i="2"/>
  <c r="L121" i="2"/>
  <c r="K121" i="2"/>
  <c r="N120" i="2"/>
  <c r="M120" i="2"/>
  <c r="L120" i="2"/>
  <c r="K120" i="2"/>
  <c r="M119" i="2"/>
  <c r="L119" i="2"/>
  <c r="N119" i="2" s="1"/>
  <c r="K119" i="2"/>
  <c r="M118" i="2"/>
  <c r="L118" i="2"/>
  <c r="N118" i="2" s="1"/>
  <c r="K118" i="2"/>
  <c r="M117" i="2"/>
  <c r="L117" i="2"/>
  <c r="N117" i="2" s="1"/>
  <c r="K117" i="2"/>
  <c r="N116" i="2"/>
  <c r="M116" i="2"/>
  <c r="L116" i="2"/>
  <c r="K116" i="2"/>
  <c r="M115" i="2"/>
  <c r="N115" i="2" s="1"/>
  <c r="L115" i="2"/>
  <c r="K115" i="2"/>
  <c r="M114" i="2"/>
  <c r="L114" i="2"/>
  <c r="N114" i="2" s="1"/>
  <c r="K114" i="2"/>
  <c r="M113" i="2"/>
  <c r="L113" i="2"/>
  <c r="N113" i="2" s="1"/>
  <c r="K113" i="2"/>
  <c r="M112" i="2"/>
  <c r="L112" i="2"/>
  <c r="N112" i="2" s="1"/>
  <c r="K112" i="2"/>
  <c r="N111" i="2"/>
  <c r="M111" i="2"/>
  <c r="L111" i="2"/>
  <c r="K111" i="2"/>
  <c r="M110" i="2"/>
  <c r="N110" i="2" s="1"/>
  <c r="L110" i="2"/>
  <c r="K110" i="2"/>
  <c r="N109" i="2"/>
  <c r="M109" i="2"/>
  <c r="L109" i="2"/>
  <c r="K109" i="2"/>
  <c r="M108" i="2"/>
  <c r="L108" i="2"/>
  <c r="N108" i="2" s="1"/>
  <c r="K108" i="2"/>
  <c r="M107" i="2"/>
  <c r="L107" i="2"/>
  <c r="N107" i="2" s="1"/>
  <c r="K107" i="2"/>
  <c r="N106" i="2"/>
  <c r="M106" i="2"/>
  <c r="L106" i="2"/>
  <c r="K106" i="2"/>
  <c r="M105" i="2"/>
  <c r="N105" i="2" s="1"/>
  <c r="L105" i="2"/>
  <c r="K105" i="2"/>
  <c r="M104" i="2"/>
  <c r="L104" i="2"/>
  <c r="N104" i="2" s="1"/>
  <c r="K104" i="2"/>
  <c r="M103" i="2"/>
  <c r="L103" i="2"/>
  <c r="N103" i="2" s="1"/>
  <c r="K103" i="2"/>
  <c r="M102" i="2"/>
  <c r="L102" i="2"/>
  <c r="N102" i="2" s="1"/>
  <c r="K102" i="2"/>
  <c r="N101" i="2"/>
  <c r="M101" i="2"/>
  <c r="L101" i="2"/>
  <c r="K101" i="2"/>
  <c r="M100" i="2"/>
  <c r="N100" i="2" s="1"/>
  <c r="L100" i="2"/>
  <c r="K100" i="2"/>
  <c r="M99" i="2"/>
  <c r="N99" i="2" s="1"/>
  <c r="L99" i="2"/>
  <c r="K99" i="2"/>
  <c r="M98" i="2"/>
  <c r="L98" i="2"/>
  <c r="K98" i="2"/>
  <c r="M97" i="2"/>
  <c r="L97" i="2"/>
  <c r="N97" i="2" s="1"/>
  <c r="K97" i="2"/>
  <c r="N96" i="2"/>
  <c r="M96" i="2"/>
  <c r="L96" i="2"/>
  <c r="K96" i="2"/>
  <c r="N95" i="2"/>
  <c r="M95" i="2"/>
  <c r="L95" i="2"/>
  <c r="K95" i="2"/>
  <c r="M94" i="2"/>
  <c r="L94" i="2"/>
  <c r="N94" i="2" s="1"/>
  <c r="K94" i="2"/>
  <c r="M93" i="2"/>
  <c r="L93" i="2"/>
  <c r="N93" i="2" s="1"/>
  <c r="K93" i="2"/>
  <c r="M92" i="2"/>
  <c r="L92" i="2"/>
  <c r="N92" i="2" s="1"/>
  <c r="K92" i="2"/>
  <c r="N91" i="2"/>
  <c r="M91" i="2"/>
  <c r="L91" i="2"/>
  <c r="K91" i="2"/>
  <c r="M90" i="2"/>
  <c r="N90" i="2" s="1"/>
  <c r="L90" i="2"/>
  <c r="K90" i="2"/>
  <c r="M89" i="2"/>
  <c r="L89" i="2"/>
  <c r="N89" i="2" s="1"/>
  <c r="K89" i="2"/>
  <c r="M88" i="2"/>
  <c r="L88" i="2"/>
  <c r="N88" i="2" s="1"/>
  <c r="K88" i="2"/>
  <c r="M87" i="2"/>
  <c r="L87" i="2"/>
  <c r="K87" i="2"/>
  <c r="N86" i="2"/>
  <c r="M86" i="2"/>
  <c r="L86" i="2"/>
  <c r="K86" i="2"/>
  <c r="M85" i="2"/>
  <c r="N85" i="2" s="1"/>
  <c r="L85" i="2"/>
  <c r="K85" i="2"/>
  <c r="N84" i="2"/>
  <c r="M84" i="2"/>
  <c r="L84" i="2"/>
  <c r="K84" i="2"/>
  <c r="M83" i="2"/>
  <c r="L83" i="2"/>
  <c r="N83" i="2" s="1"/>
  <c r="K83" i="2"/>
  <c r="M82" i="2"/>
  <c r="L82" i="2"/>
  <c r="K82" i="2"/>
  <c r="N81" i="2"/>
  <c r="M81" i="2"/>
  <c r="L81" i="2"/>
  <c r="K81" i="2"/>
  <c r="M80" i="2"/>
  <c r="N80" i="2" s="1"/>
  <c r="L80" i="2"/>
  <c r="K80" i="2"/>
  <c r="M79" i="2"/>
  <c r="L79" i="2"/>
  <c r="N79" i="2" s="1"/>
  <c r="K79" i="2"/>
  <c r="M78" i="2"/>
  <c r="L78" i="2"/>
  <c r="N78" i="2" s="1"/>
  <c r="K78" i="2"/>
  <c r="M77" i="2"/>
  <c r="L77" i="2"/>
  <c r="N77" i="2" s="1"/>
  <c r="K77" i="2"/>
  <c r="N76" i="2"/>
  <c r="M76" i="2"/>
  <c r="L76" i="2"/>
  <c r="K76" i="2"/>
  <c r="M75" i="2"/>
  <c r="N75" i="2" s="1"/>
  <c r="L75" i="2"/>
  <c r="K75" i="2"/>
  <c r="M74" i="2"/>
  <c r="N74" i="2" s="1"/>
  <c r="L74" i="2"/>
  <c r="K74" i="2"/>
  <c r="M73" i="2"/>
  <c r="L73" i="2"/>
  <c r="K73" i="2"/>
  <c r="M72" i="2"/>
  <c r="L72" i="2"/>
  <c r="N72" i="2" s="1"/>
  <c r="K72" i="2"/>
  <c r="N71" i="2"/>
  <c r="M71" i="2"/>
  <c r="L71" i="2"/>
  <c r="K71" i="2"/>
  <c r="N70" i="2"/>
  <c r="M70" i="2"/>
  <c r="L70" i="2"/>
  <c r="K70" i="2"/>
  <c r="M69" i="2"/>
  <c r="L69" i="2"/>
  <c r="N69" i="2" s="1"/>
  <c r="K69" i="2"/>
  <c r="M68" i="2"/>
  <c r="L68" i="2"/>
  <c r="N68" i="2" s="1"/>
  <c r="K68" i="2"/>
  <c r="M67" i="2"/>
  <c r="L67" i="2"/>
  <c r="N67" i="2" s="1"/>
  <c r="K67" i="2"/>
  <c r="N66" i="2"/>
  <c r="M66" i="2"/>
  <c r="L66" i="2"/>
  <c r="K66" i="2"/>
  <c r="M65" i="2"/>
  <c r="N65" i="2" s="1"/>
  <c r="L65" i="2"/>
  <c r="K65" i="2"/>
  <c r="M64" i="2"/>
  <c r="L64" i="2"/>
  <c r="N64" i="2" s="1"/>
  <c r="K64" i="2"/>
  <c r="M63" i="2"/>
  <c r="L63" i="2"/>
  <c r="N63" i="2" s="1"/>
  <c r="K63" i="2"/>
  <c r="M62" i="2"/>
  <c r="L62" i="2"/>
  <c r="K62" i="2"/>
  <c r="N61" i="2"/>
  <c r="M61" i="2"/>
  <c r="L61" i="2"/>
  <c r="K61" i="2"/>
  <c r="M60" i="2"/>
  <c r="N60" i="2" s="1"/>
  <c r="L60" i="2"/>
  <c r="K60" i="2"/>
  <c r="N59" i="2"/>
  <c r="M59" i="2"/>
  <c r="L59" i="2"/>
  <c r="K59" i="2"/>
  <c r="M58" i="2"/>
  <c r="L58" i="2"/>
  <c r="K58" i="2"/>
  <c r="M57" i="2"/>
  <c r="L57" i="2"/>
  <c r="K57" i="2"/>
  <c r="N56" i="2"/>
  <c r="M56" i="2"/>
  <c r="L56" i="2"/>
  <c r="K56" i="2"/>
  <c r="M55" i="2"/>
  <c r="N55" i="2" s="1"/>
  <c r="L55" i="2"/>
  <c r="K55" i="2"/>
  <c r="M54" i="2"/>
  <c r="L54" i="2"/>
  <c r="N54" i="2" s="1"/>
  <c r="K54" i="2"/>
  <c r="M53" i="2"/>
  <c r="L53" i="2"/>
  <c r="N53" i="2" s="1"/>
  <c r="K53" i="2"/>
  <c r="M52" i="2"/>
  <c r="L52" i="2"/>
  <c r="K52" i="2"/>
  <c r="N51" i="2"/>
  <c r="M51" i="2"/>
  <c r="L51" i="2"/>
  <c r="K51" i="2"/>
  <c r="M50" i="2"/>
  <c r="N50" i="2" s="1"/>
  <c r="L50" i="2"/>
  <c r="K50" i="2"/>
  <c r="M49" i="2"/>
  <c r="N49" i="2" s="1"/>
  <c r="L49" i="2"/>
  <c r="K49" i="2"/>
  <c r="M48" i="2"/>
  <c r="L48" i="2"/>
  <c r="K48" i="2"/>
  <c r="M47" i="2"/>
  <c r="L47" i="2"/>
  <c r="N47" i="2" s="1"/>
  <c r="K47" i="2"/>
  <c r="N46" i="2"/>
  <c r="M46" i="2"/>
  <c r="L46" i="2"/>
  <c r="K46" i="2"/>
  <c r="N45" i="2"/>
  <c r="M45" i="2"/>
  <c r="L45" i="2"/>
  <c r="K45" i="2"/>
  <c r="M44" i="2"/>
  <c r="N44" i="2" s="1"/>
  <c r="L44" i="2"/>
  <c r="K44" i="2"/>
  <c r="M43" i="2"/>
  <c r="L43" i="2"/>
  <c r="N43" i="2" s="1"/>
  <c r="K43" i="2"/>
  <c r="M42" i="2"/>
  <c r="L42" i="2"/>
  <c r="N42" i="2" s="1"/>
  <c r="K42" i="2"/>
  <c r="N41" i="2"/>
  <c r="M41" i="2"/>
  <c r="L41" i="2"/>
  <c r="K41" i="2"/>
  <c r="M40" i="2"/>
  <c r="N40" i="2" s="1"/>
  <c r="L40" i="2"/>
  <c r="K40" i="2"/>
  <c r="M39" i="2"/>
  <c r="L39" i="2"/>
  <c r="N39" i="2" s="1"/>
  <c r="K39" i="2"/>
  <c r="N38" i="2"/>
  <c r="M38" i="2"/>
  <c r="L38" i="2"/>
  <c r="K38" i="2"/>
  <c r="M37" i="2"/>
  <c r="L37" i="2"/>
  <c r="N37" i="2" s="1"/>
  <c r="K37" i="2"/>
  <c r="M36" i="2"/>
  <c r="L36" i="2"/>
  <c r="N36" i="2" s="1"/>
  <c r="K36" i="2"/>
  <c r="M35" i="2"/>
  <c r="N35" i="2" s="1"/>
  <c r="L35" i="2"/>
  <c r="K35" i="2"/>
  <c r="M34" i="2"/>
  <c r="L34" i="2"/>
  <c r="N34" i="2" s="1"/>
  <c r="K34" i="2"/>
  <c r="N33" i="2"/>
  <c r="M33" i="2"/>
  <c r="L33" i="2"/>
  <c r="K33" i="2"/>
  <c r="M32" i="2"/>
  <c r="L32" i="2"/>
  <c r="N32" i="2" s="1"/>
  <c r="K32" i="2"/>
  <c r="N31" i="2"/>
  <c r="M31" i="2"/>
  <c r="L31" i="2"/>
  <c r="K31" i="2"/>
  <c r="M30" i="2"/>
  <c r="N30" i="2" s="1"/>
  <c r="L30" i="2"/>
  <c r="K30" i="2"/>
  <c r="M29" i="2"/>
  <c r="L29" i="2"/>
  <c r="N29" i="2" s="1"/>
  <c r="K29" i="2"/>
  <c r="N28" i="2"/>
  <c r="M28" i="2"/>
  <c r="L28" i="2"/>
  <c r="K28" i="2"/>
  <c r="M27" i="2"/>
  <c r="L27" i="2"/>
  <c r="N27" i="2" s="1"/>
  <c r="K27" i="2"/>
  <c r="M26" i="2"/>
  <c r="L26" i="2"/>
  <c r="N26" i="2" s="1"/>
  <c r="K26" i="2"/>
  <c r="M25" i="2"/>
  <c r="N25" i="2" s="1"/>
  <c r="L25" i="2"/>
  <c r="K25" i="2"/>
  <c r="M24" i="2"/>
  <c r="L24" i="2"/>
  <c r="K24" i="2"/>
  <c r="M23" i="2"/>
  <c r="L23" i="2"/>
  <c r="N23" i="2" s="1"/>
  <c r="K23" i="2"/>
  <c r="M22" i="2"/>
  <c r="L22" i="2"/>
  <c r="N22" i="2" s="1"/>
  <c r="K22" i="2"/>
  <c r="M21" i="2"/>
  <c r="L21" i="2"/>
  <c r="N21" i="2" s="1"/>
  <c r="K21" i="2"/>
  <c r="M20" i="2"/>
  <c r="N20" i="2" s="1"/>
  <c r="L20" i="2"/>
  <c r="K20" i="2"/>
  <c r="M19" i="2"/>
  <c r="L19" i="2"/>
  <c r="N19" i="2" s="1"/>
  <c r="K19" i="2"/>
  <c r="M18" i="2"/>
  <c r="L18" i="2"/>
  <c r="N18" i="2" s="1"/>
  <c r="K18" i="2"/>
  <c r="M17" i="2"/>
  <c r="L17" i="2"/>
  <c r="N17" i="2" s="1"/>
  <c r="K17" i="2"/>
  <c r="N16" i="2"/>
  <c r="M16" i="2"/>
  <c r="L16" i="2"/>
  <c r="K16" i="2"/>
  <c r="M15" i="2"/>
  <c r="N15" i="2" s="1"/>
  <c r="L15" i="2"/>
  <c r="K15" i="2"/>
  <c r="M14" i="2"/>
  <c r="L14" i="2"/>
  <c r="N14" i="2" s="1"/>
  <c r="K14" i="2"/>
  <c r="N13" i="2"/>
  <c r="M13" i="2"/>
  <c r="L13" i="2"/>
  <c r="K13" i="2"/>
  <c r="M12" i="2"/>
  <c r="L12" i="2"/>
  <c r="N12" i="2" s="1"/>
  <c r="K12" i="2"/>
  <c r="M11" i="2"/>
  <c r="L11" i="2"/>
  <c r="N11" i="2" s="1"/>
  <c r="K11" i="2"/>
  <c r="M10" i="2"/>
  <c r="N10" i="2" s="1"/>
  <c r="L10" i="2"/>
  <c r="K10" i="2"/>
  <c r="M9" i="2"/>
  <c r="L9" i="2"/>
  <c r="N9" i="2" s="1"/>
  <c r="K9" i="2"/>
  <c r="N8" i="2"/>
  <c r="M8" i="2"/>
  <c r="L8" i="2"/>
  <c r="K8" i="2"/>
  <c r="M7" i="2"/>
  <c r="L7" i="2"/>
  <c r="N7" i="2" s="1"/>
  <c r="K7" i="2"/>
  <c r="N6" i="2"/>
  <c r="M6" i="2"/>
  <c r="L6" i="2"/>
  <c r="K6" i="2"/>
  <c r="M5" i="2"/>
  <c r="N5" i="2" s="1"/>
  <c r="L5" i="2"/>
  <c r="K5" i="2"/>
  <c r="M4" i="2"/>
  <c r="L4" i="2"/>
  <c r="N4" i="2" s="1"/>
  <c r="K4" i="2"/>
  <c r="N3" i="2"/>
  <c r="M3" i="2"/>
  <c r="L3" i="2"/>
  <c r="K3" i="2"/>
  <c r="P304" i="1"/>
  <c r="M304" i="1"/>
  <c r="K304" i="1"/>
  <c r="O304" i="1" s="1"/>
  <c r="P303" i="1"/>
  <c r="M303" i="1"/>
  <c r="K303" i="1"/>
  <c r="O303" i="1" s="1"/>
  <c r="P302" i="1"/>
  <c r="M302" i="1"/>
  <c r="O302" i="1" s="1"/>
  <c r="K302" i="1"/>
  <c r="P301" i="1"/>
  <c r="M301" i="1"/>
  <c r="O301" i="1" s="1"/>
  <c r="K301" i="1"/>
  <c r="P300" i="1"/>
  <c r="M300" i="1"/>
  <c r="K300" i="1"/>
  <c r="O300" i="1" s="1"/>
  <c r="P299" i="1"/>
  <c r="M299" i="1"/>
  <c r="K299" i="1"/>
  <c r="O299" i="1" s="1"/>
  <c r="P298" i="1"/>
  <c r="M298" i="1"/>
  <c r="K298" i="1"/>
  <c r="P297" i="1"/>
  <c r="M297" i="1"/>
  <c r="K297" i="1"/>
  <c r="O297" i="1" s="1"/>
  <c r="P296" i="1"/>
  <c r="M296" i="1"/>
  <c r="O296" i="1" s="1"/>
  <c r="K296" i="1"/>
  <c r="P295" i="1"/>
  <c r="O295" i="1"/>
  <c r="M295" i="1"/>
  <c r="K295" i="1"/>
  <c r="P294" i="1"/>
  <c r="O294" i="1"/>
  <c r="M294" i="1"/>
  <c r="K294" i="1"/>
  <c r="P293" i="1"/>
  <c r="M293" i="1"/>
  <c r="K293" i="1"/>
  <c r="P292" i="1"/>
  <c r="M292" i="1"/>
  <c r="K292" i="1"/>
  <c r="O292" i="1" s="1"/>
  <c r="P291" i="1"/>
  <c r="M291" i="1"/>
  <c r="O291" i="1" s="1"/>
  <c r="K291" i="1"/>
  <c r="P290" i="1"/>
  <c r="O290" i="1"/>
  <c r="M290" i="1"/>
  <c r="K290" i="1"/>
  <c r="P289" i="1"/>
  <c r="M289" i="1"/>
  <c r="O289" i="1" s="1"/>
  <c r="K289" i="1"/>
  <c r="P288" i="1"/>
  <c r="M288" i="1"/>
  <c r="K288" i="1"/>
  <c r="O288" i="1" s="1"/>
  <c r="P287" i="1"/>
  <c r="M287" i="1"/>
  <c r="O287" i="1" s="1"/>
  <c r="K287" i="1"/>
  <c r="P286" i="1"/>
  <c r="O286" i="1"/>
  <c r="M286" i="1"/>
  <c r="K286" i="1"/>
  <c r="P285" i="1"/>
  <c r="M285" i="1"/>
  <c r="K285" i="1"/>
  <c r="O285" i="1" s="1"/>
  <c r="P284" i="1"/>
  <c r="M284" i="1"/>
  <c r="K284" i="1"/>
  <c r="O284" i="1" s="1"/>
  <c r="P283" i="1"/>
  <c r="M283" i="1"/>
  <c r="K283" i="1"/>
  <c r="O283" i="1" s="1"/>
  <c r="P282" i="1"/>
  <c r="M282" i="1"/>
  <c r="K282" i="1"/>
  <c r="O282" i="1" s="1"/>
  <c r="P281" i="1"/>
  <c r="M281" i="1"/>
  <c r="O281" i="1" s="1"/>
  <c r="K281" i="1"/>
  <c r="P280" i="1"/>
  <c r="M280" i="1"/>
  <c r="K280" i="1"/>
  <c r="O280" i="1" s="1"/>
  <c r="P279" i="1"/>
  <c r="O279" i="1"/>
  <c r="M279" i="1"/>
  <c r="K279" i="1"/>
  <c r="P278" i="1"/>
  <c r="M278" i="1"/>
  <c r="K278" i="1"/>
  <c r="O278" i="1" s="1"/>
  <c r="P277" i="1"/>
  <c r="M277" i="1"/>
  <c r="O277" i="1" s="1"/>
  <c r="K277" i="1"/>
  <c r="P276" i="1"/>
  <c r="M276" i="1"/>
  <c r="O276" i="1" s="1"/>
  <c r="K276" i="1"/>
  <c r="P275" i="1"/>
  <c r="M275" i="1"/>
  <c r="O275" i="1" s="1"/>
  <c r="P273" i="1"/>
  <c r="O273" i="1"/>
  <c r="M273" i="1"/>
  <c r="P272" i="1"/>
  <c r="M272" i="1"/>
  <c r="O272" i="1" s="1"/>
  <c r="P270" i="1"/>
  <c r="M270" i="1"/>
  <c r="O270" i="1" s="1"/>
  <c r="P269" i="1"/>
  <c r="M269" i="1"/>
  <c r="O269" i="1" s="1"/>
  <c r="P268" i="1"/>
  <c r="M268" i="1"/>
  <c r="O268" i="1" s="1"/>
  <c r="P266" i="1"/>
  <c r="M266" i="1"/>
  <c r="O266" i="1" s="1"/>
  <c r="P265" i="1"/>
  <c r="O265" i="1"/>
  <c r="M265" i="1"/>
  <c r="P264" i="1"/>
  <c r="M264" i="1"/>
  <c r="O264" i="1" s="1"/>
  <c r="P263" i="1"/>
  <c r="M263" i="1"/>
  <c r="O263" i="1" s="1"/>
  <c r="P262" i="1"/>
  <c r="M262" i="1"/>
  <c r="O262" i="1" s="1"/>
  <c r="P261" i="1"/>
  <c r="O261" i="1"/>
  <c r="M261" i="1"/>
  <c r="P260" i="1"/>
  <c r="O260" i="1"/>
  <c r="M260" i="1"/>
  <c r="P259" i="1"/>
  <c r="M259" i="1"/>
  <c r="O259" i="1" s="1"/>
  <c r="P258" i="1"/>
  <c r="O258" i="1"/>
  <c r="M258" i="1"/>
  <c r="P257" i="1"/>
  <c r="M257" i="1"/>
  <c r="O257" i="1" s="1"/>
  <c r="P256" i="1"/>
  <c r="M256" i="1"/>
  <c r="O256" i="1" s="1"/>
  <c r="P255" i="1"/>
  <c r="O255" i="1"/>
  <c r="M255" i="1"/>
  <c r="P254" i="1"/>
  <c r="M254" i="1"/>
  <c r="O254" i="1" s="1"/>
  <c r="P252" i="1"/>
  <c r="M252" i="1"/>
  <c r="O252" i="1" s="1"/>
  <c r="P251" i="1"/>
  <c r="M251" i="1"/>
  <c r="O251" i="1" s="1"/>
  <c r="P250" i="1"/>
  <c r="M250" i="1"/>
  <c r="O250" i="1" s="1"/>
  <c r="P249" i="1"/>
  <c r="M249" i="1"/>
  <c r="O249" i="1" s="1"/>
  <c r="P248" i="1"/>
  <c r="O248" i="1"/>
  <c r="M248" i="1"/>
  <c r="P247" i="1"/>
  <c r="O247" i="1"/>
  <c r="M247" i="1"/>
  <c r="P246" i="1"/>
  <c r="M246" i="1"/>
  <c r="O246" i="1" s="1"/>
  <c r="P245" i="1"/>
  <c r="O245" i="1"/>
  <c r="M245" i="1"/>
  <c r="P244" i="1"/>
  <c r="M244" i="1"/>
  <c r="O244" i="1" s="1"/>
  <c r="P243" i="1"/>
  <c r="M243" i="1"/>
  <c r="O243" i="1" s="1"/>
  <c r="P242" i="1"/>
  <c r="O242" i="1"/>
  <c r="M242" i="1"/>
  <c r="P241" i="1"/>
  <c r="M241" i="1"/>
  <c r="O241" i="1" s="1"/>
  <c r="P240" i="1"/>
  <c r="M240" i="1"/>
  <c r="O240" i="1" s="1"/>
  <c r="P238" i="1"/>
  <c r="M238" i="1"/>
  <c r="O238" i="1" s="1"/>
  <c r="P237" i="1"/>
  <c r="M237" i="1"/>
  <c r="O237" i="1" s="1"/>
  <c r="P236" i="1"/>
  <c r="M236" i="1"/>
  <c r="O236" i="1" s="1"/>
  <c r="P234" i="1"/>
  <c r="M234" i="1"/>
  <c r="O234" i="1" s="1"/>
  <c r="P233" i="1"/>
  <c r="O233" i="1"/>
  <c r="M233" i="1"/>
  <c r="P232" i="1"/>
  <c r="O232" i="1"/>
  <c r="M232" i="1"/>
  <c r="P231" i="1"/>
  <c r="O231" i="1"/>
  <c r="M231" i="1"/>
  <c r="P230" i="1"/>
  <c r="M230" i="1"/>
  <c r="O230" i="1" s="1"/>
  <c r="P229" i="1"/>
  <c r="O229" i="1"/>
  <c r="M229" i="1"/>
  <c r="P228" i="1"/>
  <c r="M228" i="1"/>
  <c r="O228" i="1" s="1"/>
  <c r="P227" i="1"/>
  <c r="M227" i="1"/>
  <c r="O227" i="1" s="1"/>
  <c r="P226" i="1"/>
  <c r="M226" i="1"/>
  <c r="O226" i="1" s="1"/>
  <c r="P225" i="1"/>
  <c r="M225" i="1"/>
  <c r="O225" i="1" s="1"/>
  <c r="P224" i="1"/>
  <c r="M224" i="1"/>
  <c r="O224" i="1" s="1"/>
  <c r="P221" i="1"/>
  <c r="M221" i="1"/>
  <c r="O221" i="1" s="1"/>
  <c r="P220" i="1"/>
  <c r="M220" i="1"/>
  <c r="O220" i="1" s="1"/>
  <c r="P219" i="1"/>
  <c r="M219" i="1"/>
  <c r="O219" i="1" s="1"/>
  <c r="P218" i="1"/>
  <c r="M218" i="1"/>
  <c r="O218" i="1" s="1"/>
  <c r="P217" i="1"/>
  <c r="M217" i="1"/>
  <c r="O217" i="1" s="1"/>
  <c r="P215" i="1"/>
  <c r="M215" i="1"/>
  <c r="O215" i="1" s="1"/>
  <c r="P214" i="1"/>
  <c r="M214" i="1"/>
  <c r="O214" i="1" s="1"/>
  <c r="P213" i="1"/>
  <c r="O213" i="1"/>
  <c r="M213" i="1"/>
  <c r="P210" i="1"/>
  <c r="M210" i="1"/>
  <c r="O210" i="1" s="1"/>
  <c r="P209" i="1"/>
  <c r="M209" i="1"/>
  <c r="O209" i="1" s="1"/>
  <c r="P208" i="1"/>
  <c r="M208" i="1"/>
  <c r="O208" i="1" s="1"/>
  <c r="P207" i="1"/>
  <c r="O207" i="1"/>
  <c r="M207" i="1"/>
  <c r="P206" i="1"/>
  <c r="O206" i="1"/>
  <c r="M206" i="1"/>
  <c r="P205" i="1"/>
  <c r="M205" i="1"/>
  <c r="O205" i="1" s="1"/>
  <c r="P204" i="1"/>
  <c r="M204" i="1"/>
  <c r="O204" i="1" s="1"/>
  <c r="P203" i="1"/>
  <c r="O203" i="1"/>
  <c r="M203" i="1"/>
  <c r="P201" i="1"/>
  <c r="M201" i="1"/>
  <c r="O201" i="1" s="1"/>
  <c r="P200" i="1"/>
  <c r="M200" i="1"/>
  <c r="O200" i="1" s="1"/>
  <c r="P199" i="1"/>
  <c r="M199" i="1"/>
  <c r="O199" i="1" s="1"/>
  <c r="P198" i="1"/>
  <c r="O198" i="1"/>
  <c r="M198" i="1"/>
  <c r="P197" i="1"/>
  <c r="M197" i="1"/>
  <c r="O197" i="1" s="1"/>
  <c r="P196" i="1"/>
  <c r="M196" i="1"/>
  <c r="O196" i="1" s="1"/>
  <c r="P195" i="1"/>
  <c r="M195" i="1"/>
  <c r="O195" i="1" s="1"/>
  <c r="P194" i="1"/>
  <c r="O194" i="1"/>
  <c r="M194" i="1"/>
  <c r="P192" i="1"/>
  <c r="M192" i="1"/>
  <c r="O192" i="1" s="1"/>
  <c r="P191" i="1"/>
  <c r="O191" i="1"/>
  <c r="M191" i="1"/>
  <c r="P190" i="1"/>
  <c r="O190" i="1"/>
  <c r="M190" i="1"/>
  <c r="P189" i="1"/>
  <c r="M189" i="1"/>
  <c r="O189" i="1" s="1"/>
  <c r="P187" i="1"/>
  <c r="O187" i="1"/>
  <c r="M187" i="1"/>
  <c r="P186" i="1"/>
  <c r="M186" i="1"/>
  <c r="O186" i="1" s="1"/>
  <c r="P185" i="1"/>
  <c r="M185" i="1"/>
  <c r="O185" i="1" s="1"/>
  <c r="P184" i="1"/>
  <c r="M184" i="1"/>
  <c r="O184" i="1" s="1"/>
  <c r="P183" i="1"/>
  <c r="M183" i="1"/>
  <c r="O183" i="1" s="1"/>
  <c r="P182" i="1"/>
  <c r="M182" i="1"/>
  <c r="O182" i="1" s="1"/>
  <c r="P181" i="1"/>
  <c r="M181" i="1"/>
  <c r="O181" i="1" s="1"/>
  <c r="P180" i="1"/>
  <c r="M180" i="1"/>
  <c r="O180" i="1" s="1"/>
  <c r="P179" i="1"/>
  <c r="M179" i="1"/>
  <c r="O179" i="1" s="1"/>
  <c r="P178" i="1"/>
  <c r="O178" i="1"/>
  <c r="M178" i="1"/>
  <c r="P177" i="1"/>
  <c r="O177" i="1"/>
  <c r="M177" i="1"/>
  <c r="P176" i="1"/>
  <c r="M176" i="1"/>
  <c r="O176" i="1" s="1"/>
  <c r="P175" i="1"/>
  <c r="O175" i="1"/>
  <c r="M175" i="1"/>
  <c r="P174" i="1"/>
  <c r="M174" i="1"/>
  <c r="O174" i="1" s="1"/>
  <c r="P173" i="1"/>
  <c r="M173" i="1"/>
  <c r="O173" i="1" s="1"/>
  <c r="P172" i="1"/>
  <c r="O172" i="1"/>
  <c r="M172" i="1"/>
  <c r="P171" i="1"/>
  <c r="M171" i="1"/>
  <c r="O171" i="1" s="1"/>
  <c r="P170" i="1"/>
  <c r="M170" i="1"/>
  <c r="O170" i="1" s="1"/>
  <c r="P169" i="1"/>
  <c r="M169" i="1"/>
  <c r="O169" i="1" s="1"/>
  <c r="P168" i="1"/>
  <c r="O168" i="1"/>
  <c r="M168" i="1"/>
  <c r="P167" i="1"/>
  <c r="O167" i="1"/>
  <c r="M167" i="1"/>
  <c r="P165" i="1"/>
  <c r="O165" i="1"/>
  <c r="M165" i="1"/>
  <c r="P164" i="1"/>
  <c r="O164" i="1"/>
  <c r="M164" i="1"/>
  <c r="P163" i="1"/>
  <c r="M163" i="1"/>
  <c r="O163" i="1" s="1"/>
  <c r="P161" i="1"/>
  <c r="O161" i="1"/>
  <c r="M161" i="1"/>
  <c r="P160" i="1"/>
  <c r="M160" i="1"/>
  <c r="O160" i="1" s="1"/>
  <c r="P159" i="1"/>
  <c r="M159" i="1"/>
  <c r="O159" i="1" s="1"/>
  <c r="P157" i="1"/>
  <c r="O157" i="1"/>
  <c r="M157" i="1"/>
  <c r="P156" i="1"/>
  <c r="M156" i="1"/>
  <c r="O156" i="1" s="1"/>
  <c r="P155" i="1"/>
  <c r="O155" i="1"/>
  <c r="M155" i="1"/>
  <c r="P154" i="1"/>
  <c r="M154" i="1"/>
  <c r="O154" i="1" s="1"/>
  <c r="P152" i="1"/>
  <c r="M152" i="1"/>
  <c r="O152" i="1" s="1"/>
  <c r="P151" i="1"/>
  <c r="M151" i="1"/>
  <c r="O151" i="1" s="1"/>
  <c r="P150" i="1"/>
  <c r="O150" i="1"/>
  <c r="M150" i="1"/>
  <c r="P149" i="1"/>
  <c r="M149" i="1"/>
  <c r="O149" i="1" s="1"/>
  <c r="P147" i="1"/>
  <c r="M147" i="1"/>
  <c r="O147" i="1" s="1"/>
  <c r="P146" i="1"/>
  <c r="M146" i="1"/>
  <c r="O146" i="1" s="1"/>
  <c r="P145" i="1"/>
  <c r="M145" i="1"/>
  <c r="O145" i="1" s="1"/>
  <c r="P144" i="1"/>
  <c r="M144" i="1"/>
  <c r="O144" i="1" s="1"/>
  <c r="P143" i="1"/>
  <c r="O143" i="1"/>
  <c r="M143" i="1"/>
  <c r="P142" i="1"/>
  <c r="O142" i="1"/>
  <c r="M142" i="1"/>
  <c r="P141" i="1"/>
  <c r="M141" i="1"/>
  <c r="O141" i="1" s="1"/>
  <c r="P140" i="1"/>
  <c r="O140" i="1"/>
  <c r="M140" i="1"/>
  <c r="P139" i="1"/>
  <c r="M139" i="1"/>
  <c r="O139" i="1" s="1"/>
  <c r="P138" i="1"/>
  <c r="M138" i="1"/>
  <c r="O138" i="1" s="1"/>
  <c r="P137" i="1"/>
  <c r="M137" i="1"/>
  <c r="O137" i="1" s="1"/>
  <c r="P136" i="1"/>
  <c r="M136" i="1"/>
  <c r="O136" i="1" s="1"/>
  <c r="P135" i="1"/>
  <c r="M135" i="1"/>
  <c r="O135" i="1" s="1"/>
  <c r="P134" i="1"/>
  <c r="M134" i="1"/>
  <c r="O134" i="1" s="1"/>
  <c r="P133" i="1"/>
  <c r="O133" i="1"/>
  <c r="M133" i="1"/>
  <c r="P132" i="1"/>
  <c r="O132" i="1"/>
  <c r="M132" i="1"/>
  <c r="P131" i="1"/>
  <c r="O131" i="1"/>
  <c r="M131" i="1"/>
  <c r="P130" i="1"/>
  <c r="M130" i="1"/>
  <c r="O130" i="1" s="1"/>
  <c r="P129" i="1"/>
  <c r="O129" i="1"/>
  <c r="M129" i="1"/>
  <c r="P128" i="1"/>
  <c r="M128" i="1"/>
  <c r="O128" i="1" s="1"/>
  <c r="P127" i="1"/>
  <c r="M127" i="1"/>
  <c r="O127" i="1" s="1"/>
  <c r="P126" i="1"/>
  <c r="M126" i="1"/>
  <c r="O126" i="1" s="1"/>
  <c r="P125" i="1"/>
  <c r="M125" i="1"/>
  <c r="O125" i="1" s="1"/>
  <c r="P124" i="1"/>
  <c r="O124" i="1"/>
  <c r="M124" i="1"/>
  <c r="P123" i="1"/>
  <c r="M123" i="1"/>
  <c r="K123" i="1"/>
  <c r="O123" i="1" s="1"/>
  <c r="P122" i="1"/>
  <c r="M122" i="1"/>
  <c r="K122" i="1"/>
  <c r="O122" i="1" s="1"/>
  <c r="P121" i="1"/>
  <c r="O121" i="1"/>
  <c r="M121" i="1"/>
  <c r="K121" i="1"/>
  <c r="P120" i="1"/>
  <c r="M120" i="1"/>
  <c r="O120" i="1" s="1"/>
  <c r="K120" i="1"/>
  <c r="P119" i="1"/>
  <c r="O119" i="1"/>
  <c r="M119" i="1"/>
  <c r="K119" i="1"/>
  <c r="P118" i="1"/>
  <c r="O118" i="1"/>
  <c r="M118" i="1"/>
  <c r="K118" i="1"/>
  <c r="P117" i="1"/>
  <c r="M117" i="1"/>
  <c r="K117" i="1"/>
  <c r="O117" i="1" s="1"/>
  <c r="P116" i="1"/>
  <c r="M116" i="1"/>
  <c r="K116" i="1"/>
  <c r="O116" i="1" s="1"/>
  <c r="P115" i="1"/>
  <c r="M115" i="1"/>
  <c r="O115" i="1" s="1"/>
  <c r="K115" i="1"/>
  <c r="P114" i="1"/>
  <c r="M114" i="1"/>
  <c r="O114" i="1" s="1"/>
  <c r="K114" i="1"/>
  <c r="P113" i="1"/>
  <c r="O113" i="1"/>
  <c r="M113" i="1"/>
  <c r="K113" i="1"/>
  <c r="P112" i="1"/>
  <c r="M112" i="1"/>
  <c r="K112" i="1"/>
  <c r="O112" i="1" s="1"/>
  <c r="P111" i="1"/>
  <c r="O111" i="1"/>
  <c r="M111" i="1"/>
  <c r="K111" i="1"/>
  <c r="P110" i="1"/>
  <c r="O110" i="1"/>
  <c r="M110" i="1"/>
  <c r="K110" i="1"/>
  <c r="P109" i="1"/>
  <c r="M109" i="1"/>
  <c r="K109" i="1"/>
  <c r="O109" i="1" s="1"/>
  <c r="P108" i="1"/>
  <c r="O108" i="1"/>
  <c r="M108" i="1"/>
  <c r="K108" i="1"/>
  <c r="P107" i="1"/>
  <c r="M107" i="1"/>
  <c r="K107" i="1"/>
  <c r="O107" i="1" s="1"/>
  <c r="P106" i="1"/>
  <c r="M106" i="1"/>
  <c r="O106" i="1" s="1"/>
  <c r="K106" i="1"/>
  <c r="P105" i="1"/>
  <c r="M105" i="1"/>
  <c r="O105" i="1" s="1"/>
  <c r="K105" i="1"/>
  <c r="P104" i="1"/>
  <c r="M104" i="1"/>
  <c r="K104" i="1"/>
  <c r="O104" i="1" s="1"/>
  <c r="P103" i="1"/>
  <c r="O103" i="1"/>
  <c r="M103" i="1"/>
  <c r="K103" i="1"/>
  <c r="P102" i="1"/>
  <c r="M102" i="1"/>
  <c r="K102" i="1"/>
  <c r="O102" i="1" s="1"/>
  <c r="P101" i="1"/>
  <c r="M101" i="1"/>
  <c r="K101" i="1"/>
  <c r="O101" i="1" s="1"/>
  <c r="P100" i="1"/>
  <c r="O100" i="1"/>
  <c r="M100" i="1"/>
  <c r="K100" i="1"/>
  <c r="P99" i="1"/>
  <c r="M99" i="1"/>
  <c r="K99" i="1"/>
  <c r="O99" i="1" s="1"/>
  <c r="P98" i="1"/>
  <c r="O98" i="1"/>
  <c r="M98" i="1"/>
  <c r="K98" i="1"/>
  <c r="P97" i="1"/>
  <c r="M97" i="1"/>
  <c r="K97" i="1"/>
  <c r="P96" i="1"/>
  <c r="M96" i="1"/>
  <c r="K96" i="1"/>
  <c r="O96" i="1" s="1"/>
  <c r="P95" i="1"/>
  <c r="M95" i="1"/>
  <c r="O95" i="1" s="1"/>
  <c r="K95" i="1"/>
  <c r="P94" i="1"/>
  <c r="M94" i="1"/>
  <c r="K94" i="1"/>
  <c r="O94" i="1" s="1"/>
  <c r="P93" i="1"/>
  <c r="O93" i="1"/>
  <c r="M93" i="1"/>
  <c r="K93" i="1"/>
  <c r="P92" i="1"/>
  <c r="M92" i="1"/>
  <c r="K92" i="1"/>
  <c r="O92" i="1" s="1"/>
  <c r="P91" i="1"/>
  <c r="M91" i="1"/>
  <c r="K91" i="1"/>
  <c r="O91" i="1" s="1"/>
  <c r="P90" i="1"/>
  <c r="O90" i="1"/>
  <c r="M90" i="1"/>
  <c r="K90" i="1"/>
  <c r="P89" i="1"/>
  <c r="O89" i="1"/>
  <c r="M89" i="1"/>
  <c r="K89" i="1"/>
  <c r="P88" i="1"/>
  <c r="M88" i="1"/>
  <c r="K88" i="1"/>
  <c r="O88" i="1" s="1"/>
  <c r="P87" i="1"/>
  <c r="M87" i="1"/>
  <c r="K87" i="1"/>
  <c r="P86" i="1"/>
  <c r="M86" i="1"/>
  <c r="K86" i="1"/>
  <c r="O86" i="1" s="1"/>
  <c r="P85" i="1"/>
  <c r="M85" i="1"/>
  <c r="O85" i="1" s="1"/>
  <c r="K85" i="1"/>
  <c r="P84" i="1"/>
  <c r="M84" i="1"/>
  <c r="O84" i="1" s="1"/>
  <c r="K84" i="1"/>
  <c r="P83" i="1"/>
  <c r="M83" i="1"/>
  <c r="K83" i="1"/>
  <c r="O83" i="1" s="1"/>
  <c r="P82" i="1"/>
  <c r="M82" i="1"/>
  <c r="K82" i="1"/>
  <c r="O82" i="1" s="1"/>
  <c r="P81" i="1"/>
  <c r="O81" i="1"/>
  <c r="M81" i="1"/>
  <c r="K81" i="1"/>
  <c r="P80" i="1"/>
  <c r="M80" i="1"/>
  <c r="O80" i="1" s="1"/>
  <c r="K80" i="1"/>
  <c r="P79" i="1"/>
  <c r="O79" i="1"/>
  <c r="M79" i="1"/>
  <c r="K79" i="1"/>
  <c r="P78" i="1"/>
  <c r="M78" i="1"/>
  <c r="K78" i="1"/>
  <c r="O78" i="1" s="1"/>
  <c r="P77" i="1"/>
  <c r="M77" i="1"/>
  <c r="K77" i="1"/>
  <c r="P76" i="1"/>
  <c r="M76" i="1"/>
  <c r="O76" i="1" s="1"/>
  <c r="K76" i="1"/>
  <c r="P75" i="1"/>
  <c r="M75" i="1"/>
  <c r="O75" i="1" s="1"/>
  <c r="K75" i="1"/>
  <c r="P74" i="1"/>
  <c r="M74" i="1"/>
  <c r="K74" i="1"/>
  <c r="O74" i="1" s="1"/>
  <c r="P73" i="1"/>
  <c r="M73" i="1"/>
  <c r="K73" i="1"/>
  <c r="O73" i="1" s="1"/>
  <c r="P72" i="1"/>
  <c r="M72" i="1"/>
  <c r="K72" i="1"/>
  <c r="O72" i="1" s="1"/>
  <c r="P71" i="1"/>
  <c r="O71" i="1"/>
  <c r="M71" i="1"/>
  <c r="K71" i="1"/>
  <c r="P70" i="1"/>
  <c r="M70" i="1"/>
  <c r="O70" i="1" s="1"/>
  <c r="K70" i="1"/>
  <c r="P69" i="1"/>
  <c r="O69" i="1"/>
  <c r="M69" i="1"/>
  <c r="K69" i="1"/>
  <c r="P68" i="1"/>
  <c r="O68" i="1"/>
  <c r="M68" i="1"/>
  <c r="K68" i="1"/>
  <c r="P67" i="1"/>
  <c r="M67" i="1"/>
  <c r="K67" i="1"/>
  <c r="O67" i="1" s="1"/>
  <c r="P66" i="1"/>
  <c r="M66" i="1"/>
  <c r="K66" i="1"/>
  <c r="O66" i="1" s="1"/>
  <c r="P65" i="1"/>
  <c r="M65" i="1"/>
  <c r="O65" i="1" s="1"/>
  <c r="K65" i="1"/>
  <c r="P64" i="1"/>
  <c r="M64" i="1"/>
  <c r="O64" i="1" s="1"/>
  <c r="K64" i="1"/>
  <c r="P63" i="1"/>
  <c r="O63" i="1"/>
  <c r="M63" i="1"/>
  <c r="K63" i="1"/>
  <c r="P62" i="1"/>
  <c r="M62" i="1"/>
  <c r="K62" i="1"/>
  <c r="O62" i="1" s="1"/>
  <c r="P61" i="1"/>
  <c r="O61" i="1"/>
  <c r="M61" i="1"/>
  <c r="K61" i="1"/>
  <c r="P60" i="1"/>
  <c r="O60" i="1"/>
  <c r="M60" i="1"/>
  <c r="K60" i="1"/>
  <c r="P59" i="1"/>
  <c r="M59" i="1"/>
  <c r="K59" i="1"/>
  <c r="O59" i="1" s="1"/>
  <c r="P58" i="1"/>
  <c r="O58" i="1"/>
  <c r="M58" i="1"/>
  <c r="K58" i="1"/>
  <c r="P57" i="1"/>
  <c r="M57" i="1"/>
  <c r="K57" i="1"/>
  <c r="O57" i="1" s="1"/>
  <c r="P56" i="1"/>
  <c r="M56" i="1"/>
  <c r="O56" i="1" s="1"/>
  <c r="K56" i="1"/>
  <c r="P55" i="1"/>
  <c r="M55" i="1"/>
  <c r="O55" i="1" s="1"/>
  <c r="K55" i="1"/>
  <c r="P54" i="1"/>
  <c r="M54" i="1"/>
  <c r="K54" i="1"/>
  <c r="O54" i="1" s="1"/>
  <c r="P53" i="1"/>
  <c r="M53" i="1"/>
  <c r="K53" i="1"/>
  <c r="O53" i="1" s="1"/>
  <c r="P52" i="1"/>
  <c r="M52" i="1"/>
  <c r="K52" i="1"/>
  <c r="O52" i="1" s="1"/>
  <c r="P51" i="1"/>
  <c r="M51" i="1"/>
  <c r="O51" i="1" s="1"/>
  <c r="K51" i="1"/>
  <c r="P50" i="1"/>
  <c r="M50" i="1"/>
  <c r="O50" i="1" s="1"/>
  <c r="K50" i="1"/>
  <c r="P49" i="1"/>
  <c r="M49" i="1"/>
  <c r="K49" i="1"/>
  <c r="O49" i="1" s="1"/>
  <c r="P48" i="1"/>
  <c r="M48" i="1"/>
  <c r="K48" i="1"/>
  <c r="O48" i="1" s="1"/>
  <c r="P47" i="1"/>
  <c r="M47" i="1"/>
  <c r="K47" i="1"/>
  <c r="O47" i="1" s="1"/>
  <c r="P46" i="1"/>
  <c r="M46" i="1"/>
  <c r="O46" i="1" s="1"/>
  <c r="K46" i="1"/>
  <c r="P45" i="1"/>
  <c r="M45" i="1"/>
  <c r="O45" i="1" s="1"/>
  <c r="K45" i="1"/>
  <c r="P44" i="1"/>
  <c r="M44" i="1"/>
  <c r="K44" i="1"/>
  <c r="O44" i="1" s="1"/>
  <c r="P43" i="1"/>
  <c r="M43" i="1"/>
  <c r="K43" i="1"/>
  <c r="O43" i="1" s="1"/>
  <c r="P42" i="1"/>
  <c r="M42" i="1"/>
  <c r="K42" i="1"/>
  <c r="O42" i="1" s="1"/>
  <c r="P41" i="1"/>
  <c r="M41" i="1"/>
  <c r="O41" i="1" s="1"/>
  <c r="K41" i="1"/>
  <c r="P40" i="1"/>
  <c r="M40" i="1"/>
  <c r="O40" i="1" s="1"/>
  <c r="K40" i="1"/>
  <c r="P39" i="1"/>
  <c r="M39" i="1"/>
  <c r="K39" i="1"/>
  <c r="O39" i="1" s="1"/>
  <c r="P38" i="1"/>
  <c r="M38" i="1"/>
  <c r="K38" i="1"/>
  <c r="O38" i="1" s="1"/>
  <c r="P37" i="1"/>
  <c r="M37" i="1"/>
  <c r="K37" i="1"/>
  <c r="O37" i="1" s="1"/>
  <c r="P36" i="1"/>
  <c r="M36" i="1"/>
  <c r="O36" i="1" s="1"/>
  <c r="K36" i="1"/>
  <c r="P35" i="1"/>
  <c r="M35" i="1"/>
  <c r="O35" i="1" s="1"/>
  <c r="K35" i="1"/>
  <c r="P34" i="1"/>
  <c r="M34" i="1"/>
  <c r="K34" i="1"/>
  <c r="O34" i="1" s="1"/>
  <c r="P33" i="1"/>
  <c r="M33" i="1"/>
  <c r="K33" i="1"/>
  <c r="O33" i="1" s="1"/>
  <c r="P32" i="1"/>
  <c r="M32" i="1"/>
  <c r="K32" i="1"/>
  <c r="O32" i="1" s="1"/>
  <c r="P31" i="1"/>
  <c r="M31" i="1"/>
  <c r="O31" i="1" s="1"/>
  <c r="K31" i="1"/>
  <c r="P30" i="1"/>
  <c r="M30" i="1"/>
  <c r="O30" i="1" s="1"/>
  <c r="K30" i="1"/>
  <c r="P29" i="1"/>
  <c r="M29" i="1"/>
  <c r="K29" i="1"/>
  <c r="O29" i="1" s="1"/>
  <c r="P28" i="1"/>
  <c r="M28" i="1"/>
  <c r="K28" i="1"/>
  <c r="O28" i="1" s="1"/>
  <c r="P27" i="1"/>
  <c r="M27" i="1"/>
  <c r="K27" i="1"/>
  <c r="O27" i="1" s="1"/>
  <c r="P26" i="1"/>
  <c r="M26" i="1"/>
  <c r="O26" i="1" s="1"/>
  <c r="K26" i="1"/>
  <c r="P25" i="1"/>
  <c r="M25" i="1"/>
  <c r="O25" i="1" s="1"/>
  <c r="K25" i="1"/>
  <c r="P24" i="1"/>
  <c r="M24" i="1"/>
  <c r="K24" i="1"/>
  <c r="O24" i="1" s="1"/>
  <c r="P23" i="1"/>
  <c r="O23" i="1"/>
  <c r="M23" i="1"/>
  <c r="K23" i="1"/>
  <c r="P22" i="1"/>
  <c r="M22" i="1"/>
  <c r="K22" i="1"/>
  <c r="O22" i="1" s="1"/>
  <c r="P21" i="1"/>
  <c r="M21" i="1"/>
  <c r="O21" i="1" s="1"/>
  <c r="K21" i="1"/>
  <c r="P20" i="1"/>
  <c r="M20" i="1"/>
  <c r="O20" i="1" s="1"/>
  <c r="K20" i="1"/>
  <c r="P19" i="1"/>
  <c r="M19" i="1"/>
  <c r="K19" i="1"/>
  <c r="O19" i="1" s="1"/>
  <c r="P18" i="1"/>
  <c r="M18" i="1"/>
  <c r="K18" i="1"/>
  <c r="O18" i="1" s="1"/>
  <c r="P17" i="1"/>
  <c r="M17" i="1"/>
  <c r="K17" i="1"/>
  <c r="O17" i="1" s="1"/>
  <c r="P16" i="1"/>
  <c r="M16" i="1"/>
  <c r="O16" i="1" s="1"/>
  <c r="K16" i="1"/>
  <c r="P15" i="1"/>
  <c r="M15" i="1"/>
  <c r="O15" i="1" s="1"/>
  <c r="K15" i="1"/>
  <c r="P14" i="1"/>
  <c r="M14" i="1"/>
  <c r="K14" i="1"/>
  <c r="O14" i="1" s="1"/>
  <c r="P13" i="1"/>
  <c r="M13" i="1"/>
  <c r="K13" i="1"/>
  <c r="O13" i="1" s="1"/>
  <c r="P12" i="1"/>
  <c r="M12" i="1"/>
  <c r="K12" i="1"/>
  <c r="O12" i="1" s="1"/>
  <c r="P11" i="1"/>
  <c r="M11" i="1"/>
  <c r="O11" i="1" s="1"/>
  <c r="K11" i="1"/>
  <c r="P10" i="1"/>
  <c r="M10" i="1"/>
  <c r="O10" i="1" s="1"/>
  <c r="K10" i="1"/>
  <c r="P9" i="1"/>
  <c r="M9" i="1"/>
  <c r="K9" i="1"/>
  <c r="O9" i="1" s="1"/>
  <c r="P8" i="1"/>
  <c r="M8" i="1"/>
  <c r="K8" i="1"/>
  <c r="O8" i="1" s="1"/>
  <c r="P7" i="1"/>
  <c r="M7" i="1"/>
  <c r="K7" i="1"/>
  <c r="O7" i="1" s="1"/>
  <c r="P6" i="1"/>
  <c r="M6" i="1"/>
  <c r="O6" i="1" s="1"/>
  <c r="K6" i="1"/>
  <c r="P5" i="1"/>
  <c r="M5" i="1"/>
  <c r="O5" i="1" s="1"/>
  <c r="K5" i="1"/>
  <c r="P4" i="1"/>
  <c r="M4" i="1"/>
  <c r="K4" i="1"/>
  <c r="O4" i="1" s="1"/>
  <c r="P3" i="1"/>
  <c r="M3" i="1"/>
  <c r="K3" i="1"/>
  <c r="O3" i="1" s="1"/>
  <c r="G5" i="5" l="1"/>
  <c r="E15" i="5"/>
  <c r="F5" i="5"/>
  <c r="O87" i="1"/>
  <c r="O293" i="1"/>
  <c r="N289" i="2"/>
  <c r="S24" i="6"/>
  <c r="J25" i="7"/>
  <c r="O77" i="1"/>
  <c r="N62" i="2"/>
  <c r="N275" i="2"/>
  <c r="F14" i="5"/>
  <c r="N314" i="2"/>
  <c r="F10" i="5"/>
  <c r="O298" i="1"/>
  <c r="N24" i="2"/>
  <c r="N52" i="2"/>
  <c r="N58" i="2"/>
  <c r="N183" i="2"/>
  <c r="O97" i="1"/>
  <c r="N87" i="2"/>
  <c r="K5" i="7"/>
  <c r="N57" i="2"/>
  <c r="N82" i="2"/>
  <c r="N288" i="2"/>
  <c r="N313" i="2"/>
  <c r="N332" i="2"/>
  <c r="O19" i="4"/>
  <c r="O24" i="4"/>
  <c r="K20" i="9"/>
  <c r="L20" i="9" s="1"/>
  <c r="K6" i="9"/>
  <c r="L6" i="9" s="1"/>
  <c r="O17" i="4"/>
  <c r="K22" i="9"/>
  <c r="L22" i="9" s="1"/>
  <c r="K8" i="9"/>
  <c r="L8" i="9" s="1"/>
  <c r="D26" i="5"/>
  <c r="K24" i="9"/>
  <c r="L24" i="9" s="1"/>
  <c r="K9" i="9"/>
  <c r="L9" i="9" s="1"/>
  <c r="K25" i="9"/>
  <c r="L25" i="9" s="1"/>
  <c r="K10" i="9"/>
  <c r="L10" i="9" s="1"/>
  <c r="K11" i="9"/>
  <c r="L11" i="9" s="1"/>
  <c r="K14" i="9"/>
  <c r="L14" i="9" s="1"/>
  <c r="K16" i="9"/>
  <c r="L16" i="9" s="1"/>
  <c r="D28" i="5"/>
  <c r="D23" i="5"/>
  <c r="O30" i="4"/>
  <c r="O22" i="4"/>
  <c r="O8" i="4"/>
  <c r="K17" i="9"/>
  <c r="L17" i="9" s="1"/>
  <c r="K19" i="9"/>
  <c r="L19" i="9" s="1"/>
  <c r="K5" i="9"/>
  <c r="L5" i="9" s="1"/>
  <c r="O28" i="4"/>
  <c r="O6" i="4"/>
  <c r="K13" i="9"/>
  <c r="L13" i="9" s="1"/>
  <c r="D20" i="5"/>
  <c r="O32" i="4"/>
  <c r="O29" i="4"/>
  <c r="O20" i="4"/>
  <c r="O14" i="4"/>
  <c r="G7" i="5"/>
  <c r="F7" i="5"/>
  <c r="D19" i="5"/>
  <c r="D25" i="5"/>
  <c r="Q25" i="7"/>
  <c r="N48" i="2"/>
  <c r="N73" i="2"/>
  <c r="N98" i="2"/>
  <c r="N123" i="2"/>
  <c r="N148" i="2"/>
  <c r="N173" i="2"/>
  <c r="N198" i="2"/>
  <c r="N223" i="2"/>
  <c r="N248" i="2"/>
  <c r="N323" i="2"/>
  <c r="O13" i="4"/>
  <c r="O25" i="4"/>
  <c r="F12" i="5"/>
  <c r="N274" i="2"/>
  <c r="N324" i="2"/>
  <c r="I27" i="4"/>
  <c r="H22" i="9"/>
  <c r="N299" i="2"/>
  <c r="I16" i="4"/>
  <c r="N294" i="2"/>
  <c r="N333" i="2"/>
  <c r="I11" i="4"/>
  <c r="F11" i="5"/>
  <c r="E9" i="8"/>
  <c r="D29" i="5" l="1"/>
  <c r="F15" i="5"/>
  <c r="I35" i="4"/>
  <c r="I34" i="4"/>
  <c r="K25" i="7"/>
  <c r="G52" i="7" s="1"/>
  <c r="R5" i="7"/>
  <c r="R25" i="7" s="1"/>
  <c r="G15" i="5"/>
  <c r="J25" i="4" l="1"/>
  <c r="J10" i="4"/>
  <c r="J14" i="4"/>
  <c r="J20" i="4"/>
  <c r="J24" i="4"/>
  <c r="J22" i="4"/>
  <c r="J19" i="4"/>
  <c r="M19" i="4" s="1"/>
  <c r="N19" i="4" s="1"/>
  <c r="J6" i="4"/>
  <c r="J16" i="4"/>
  <c r="M16" i="4" s="1"/>
  <c r="N16" i="4" s="1"/>
  <c r="J9" i="4"/>
  <c r="M9" i="4" s="1"/>
  <c r="N9" i="4" s="1"/>
  <c r="J5" i="4"/>
  <c r="J8" i="4"/>
  <c r="J13" i="4"/>
  <c r="J17" i="4"/>
  <c r="M17" i="4" s="1"/>
  <c r="N17" i="4" s="1"/>
  <c r="J11" i="4"/>
  <c r="K24" i="4"/>
  <c r="K9" i="4"/>
  <c r="K13" i="4"/>
  <c r="K22" i="4"/>
  <c r="K10" i="4"/>
  <c r="K25" i="4"/>
  <c r="K5" i="4"/>
  <c r="K17" i="4"/>
  <c r="K16" i="4"/>
  <c r="K8" i="4"/>
  <c r="K20" i="4"/>
  <c r="K19" i="4"/>
  <c r="K11" i="4"/>
  <c r="K6" i="4"/>
  <c r="K14" i="4"/>
  <c r="M6" i="4" l="1"/>
  <c r="N6" i="4" s="1"/>
  <c r="I19" i="9"/>
  <c r="Q19" i="4"/>
  <c r="R19" i="4" s="1"/>
  <c r="I17" i="9"/>
  <c r="Q17" i="4"/>
  <c r="R17" i="4" s="1"/>
  <c r="M20" i="4"/>
  <c r="N20" i="4" s="1"/>
  <c r="M13" i="4"/>
  <c r="N13" i="4" s="1"/>
  <c r="M14" i="4"/>
  <c r="N14" i="4" s="1"/>
  <c r="I9" i="9"/>
  <c r="Q9" i="4"/>
  <c r="R9" i="4" s="1"/>
  <c r="M11" i="4"/>
  <c r="N11" i="4" s="1"/>
  <c r="M8" i="4"/>
  <c r="N8" i="4" s="1"/>
  <c r="M10" i="4"/>
  <c r="N10" i="4" s="1"/>
  <c r="Q16" i="4"/>
  <c r="R16" i="4" s="1"/>
  <c r="I16" i="9"/>
  <c r="D21" i="8"/>
  <c r="F21" i="8" s="1"/>
  <c r="G21" i="8" s="1"/>
  <c r="M22" i="4"/>
  <c r="N22" i="4" s="1"/>
  <c r="M24" i="4"/>
  <c r="N24" i="4" s="1"/>
  <c r="M5" i="4"/>
  <c r="N5" i="4" s="1"/>
  <c r="M25" i="4"/>
  <c r="N25" i="4" s="1"/>
  <c r="T21" i="6" l="1"/>
  <c r="T11" i="6"/>
  <c r="I5" i="9"/>
  <c r="T14" i="6"/>
  <c r="T4" i="6"/>
  <c r="D18" i="8"/>
  <c r="T22" i="6"/>
  <c r="T12" i="6"/>
  <c r="T16" i="6"/>
  <c r="T7" i="6"/>
  <c r="T13" i="6"/>
  <c r="T9" i="6"/>
  <c r="T5" i="6"/>
  <c r="T6" i="6"/>
  <c r="T20" i="6"/>
  <c r="T10" i="6"/>
  <c r="T15" i="6"/>
  <c r="N36" i="4"/>
  <c r="T17" i="6"/>
  <c r="T23" i="6"/>
  <c r="Q5" i="4"/>
  <c r="R5" i="4" s="1"/>
  <c r="T8" i="6"/>
  <c r="T19" i="6"/>
  <c r="T18" i="6"/>
  <c r="I14" i="9"/>
  <c r="Q14" i="4"/>
  <c r="R14" i="4" s="1"/>
  <c r="I20" i="9"/>
  <c r="Q20" i="4"/>
  <c r="R20" i="4" s="1"/>
  <c r="N9" i="9"/>
  <c r="J9" i="9"/>
  <c r="O9" i="9" s="1"/>
  <c r="I24" i="9"/>
  <c r="D24" i="8"/>
  <c r="F24" i="8" s="1"/>
  <c r="G24" i="8" s="1"/>
  <c r="Q24" i="4"/>
  <c r="R24" i="4" s="1"/>
  <c r="I22" i="9"/>
  <c r="D23" i="8"/>
  <c r="F23" i="8" s="1"/>
  <c r="G23" i="8" s="1"/>
  <c r="Q22" i="4"/>
  <c r="R22" i="4" s="1"/>
  <c r="D20" i="8"/>
  <c r="F20" i="8" s="1"/>
  <c r="G20" i="8" s="1"/>
  <c r="I13" i="9"/>
  <c r="Q13" i="4"/>
  <c r="R13" i="4" s="1"/>
  <c r="J16" i="9"/>
  <c r="O16" i="9" s="1"/>
  <c r="N16" i="9"/>
  <c r="N17" i="9"/>
  <c r="J17" i="9"/>
  <c r="O17" i="9" s="1"/>
  <c r="Q10" i="4"/>
  <c r="R10" i="4" s="1"/>
  <c r="I10" i="9"/>
  <c r="I8" i="9"/>
  <c r="D19" i="8"/>
  <c r="F19" i="8" s="1"/>
  <c r="G19" i="8" s="1"/>
  <c r="Q8" i="4"/>
  <c r="R8" i="4" s="1"/>
  <c r="D22" i="8"/>
  <c r="F22" i="8" s="1"/>
  <c r="G22" i="8" s="1"/>
  <c r="I11" i="9"/>
  <c r="Q11" i="4"/>
  <c r="R11" i="4" s="1"/>
  <c r="N19" i="9"/>
  <c r="J19" i="9"/>
  <c r="O19" i="9" s="1"/>
  <c r="I25" i="9"/>
  <c r="Q25" i="4"/>
  <c r="R25" i="4" s="1"/>
  <c r="I6" i="9"/>
  <c r="Q6" i="4"/>
  <c r="R6" i="4" s="1"/>
  <c r="U23" i="6" l="1"/>
  <c r="M24" i="7" s="1"/>
  <c r="L24" i="7"/>
  <c r="U17" i="6"/>
  <c r="M18" i="7" s="1"/>
  <c r="L18" i="7"/>
  <c r="N239" i="1"/>
  <c r="N8" i="9"/>
  <c r="J8" i="9"/>
  <c r="O8" i="9" s="1"/>
  <c r="U7" i="6"/>
  <c r="M8" i="7" s="1"/>
  <c r="L8" i="7"/>
  <c r="N158" i="1"/>
  <c r="U16" i="6"/>
  <c r="M17" i="7" s="1"/>
  <c r="L17" i="7"/>
  <c r="N223" i="1"/>
  <c r="E24" i="7"/>
  <c r="E14" i="7"/>
  <c r="E21" i="7"/>
  <c r="E11" i="7"/>
  <c r="E18" i="7"/>
  <c r="E23" i="7"/>
  <c r="E13" i="7"/>
  <c r="E17" i="7"/>
  <c r="E15" i="7"/>
  <c r="E7" i="7"/>
  <c r="E16" i="7"/>
  <c r="E12" i="7"/>
  <c r="E20" i="7"/>
  <c r="E9" i="7"/>
  <c r="E5" i="7"/>
  <c r="E10" i="7"/>
  <c r="E19" i="7"/>
  <c r="E22" i="7"/>
  <c r="E8" i="7"/>
  <c r="E6" i="7"/>
  <c r="Q36" i="4"/>
  <c r="R36" i="4" s="1"/>
  <c r="N20" i="9"/>
  <c r="J20" i="9"/>
  <c r="O20" i="9" s="1"/>
  <c r="N6" i="9"/>
  <c r="J6" i="9"/>
  <c r="O6" i="9" s="1"/>
  <c r="N11" i="9"/>
  <c r="J11" i="9"/>
  <c r="O11" i="9" s="1"/>
  <c r="N202" i="1"/>
  <c r="L13" i="7"/>
  <c r="U12" i="6"/>
  <c r="M13" i="7" s="1"/>
  <c r="L23" i="7"/>
  <c r="U22" i="6"/>
  <c r="M23" i="7" s="1"/>
  <c r="N274" i="1"/>
  <c r="F18" i="8"/>
  <c r="D25" i="8"/>
  <c r="N10" i="9"/>
  <c r="J10" i="9"/>
  <c r="O10" i="9" s="1"/>
  <c r="N14" i="9"/>
  <c r="J14" i="9"/>
  <c r="O14" i="9" s="1"/>
  <c r="N25" i="9"/>
  <c r="J25" i="9"/>
  <c r="O25" i="9" s="1"/>
  <c r="N22" i="9"/>
  <c r="J22" i="9"/>
  <c r="O22" i="9" s="1"/>
  <c r="L19" i="7"/>
  <c r="N235" i="1"/>
  <c r="U18" i="6"/>
  <c r="M19" i="7" s="1"/>
  <c r="L7" i="7"/>
  <c r="N153" i="1"/>
  <c r="U6" i="6"/>
  <c r="M7" i="7" s="1"/>
  <c r="U14" i="6"/>
  <c r="M15" i="7" s="1"/>
  <c r="N212" i="1"/>
  <c r="L15" i="7"/>
  <c r="L20" i="7"/>
  <c r="U19" i="6"/>
  <c r="M20" i="7" s="1"/>
  <c r="N253" i="1"/>
  <c r="L6" i="7"/>
  <c r="U5" i="6"/>
  <c r="M6" i="7" s="1"/>
  <c r="N162" i="1"/>
  <c r="N5" i="9"/>
  <c r="J5" i="9"/>
  <c r="O5" i="9" s="1"/>
  <c r="U4" i="6"/>
  <c r="N148" i="1"/>
  <c r="L5" i="7"/>
  <c r="T24" i="6"/>
  <c r="L9" i="7"/>
  <c r="U8" i="6"/>
  <c r="M9" i="7" s="1"/>
  <c r="N166" i="1"/>
  <c r="U9" i="6"/>
  <c r="M10" i="7" s="1"/>
  <c r="L10" i="7"/>
  <c r="N188" i="1"/>
  <c r="U11" i="6"/>
  <c r="M12" i="7" s="1"/>
  <c r="L12" i="7"/>
  <c r="N193" i="1"/>
  <c r="N13" i="9"/>
  <c r="J13" i="9"/>
  <c r="O13" i="9" s="1"/>
  <c r="L16" i="7"/>
  <c r="U15" i="6"/>
  <c r="M16" i="7" s="1"/>
  <c r="N222" i="1"/>
  <c r="U10" i="6"/>
  <c r="M11" i="7" s="1"/>
  <c r="L11" i="7"/>
  <c r="N211" i="1"/>
  <c r="L21" i="7"/>
  <c r="U20" i="6"/>
  <c r="M21" i="7" s="1"/>
  <c r="N267" i="1"/>
  <c r="N24" i="9"/>
  <c r="J24" i="9"/>
  <c r="O24" i="9" s="1"/>
  <c r="N216" i="1"/>
  <c r="L14" i="7"/>
  <c r="U13" i="6"/>
  <c r="M14" i="7" s="1"/>
  <c r="L22" i="7"/>
  <c r="U21" i="6"/>
  <c r="M22" i="7" s="1"/>
  <c r="N271" i="1"/>
  <c r="H9" i="7" l="1"/>
  <c r="F9" i="7"/>
  <c r="S9" i="7"/>
  <c r="P274" i="1"/>
  <c r="M274" i="1"/>
  <c r="O274" i="1" s="1"/>
  <c r="P211" i="1"/>
  <c r="M211" i="1"/>
  <c r="O211" i="1" s="1"/>
  <c r="O23" i="7"/>
  <c r="H16" i="7"/>
  <c r="S16" i="7"/>
  <c r="F16" i="7"/>
  <c r="S24" i="7"/>
  <c r="F24" i="7"/>
  <c r="H24" i="7"/>
  <c r="P216" i="1"/>
  <c r="M216" i="1"/>
  <c r="O216" i="1" s="1"/>
  <c r="H13" i="7"/>
  <c r="F13" i="7"/>
  <c r="S13" i="7"/>
  <c r="M253" i="1"/>
  <c r="O253" i="1" s="1"/>
  <c r="P253" i="1"/>
  <c r="H5" i="7"/>
  <c r="E25" i="7"/>
  <c r="G28" i="7" s="1"/>
  <c r="F5" i="7"/>
  <c r="S5" i="7"/>
  <c r="M267" i="1"/>
  <c r="O267" i="1" s="1"/>
  <c r="P267" i="1"/>
  <c r="G18" i="8"/>
  <c r="F25" i="8"/>
  <c r="S11" i="7"/>
  <c r="F11" i="7"/>
  <c r="H11" i="7"/>
  <c r="O5" i="7"/>
  <c r="L25" i="7"/>
  <c r="G31" i="7" s="1"/>
  <c r="P271" i="1"/>
  <c r="M271" i="1"/>
  <c r="O271" i="1" s="1"/>
  <c r="S14" i="7"/>
  <c r="H14" i="7"/>
  <c r="F14" i="7"/>
  <c r="O22" i="7"/>
  <c r="S6" i="7"/>
  <c r="H6" i="7"/>
  <c r="F6" i="7"/>
  <c r="H7" i="7"/>
  <c r="S7" i="7"/>
  <c r="F7" i="7"/>
  <c r="P223" i="1"/>
  <c r="M223" i="1"/>
  <c r="O223" i="1" s="1"/>
  <c r="H19" i="7"/>
  <c r="S19" i="7"/>
  <c r="F19" i="7"/>
  <c r="M158" i="1"/>
  <c r="O158" i="1" s="1"/>
  <c r="P158" i="1"/>
  <c r="O16" i="7"/>
  <c r="S10" i="7"/>
  <c r="F10" i="7"/>
  <c r="H10" i="7"/>
  <c r="P235" i="1"/>
  <c r="M235" i="1"/>
  <c r="O235" i="1" s="1"/>
  <c r="H18" i="7"/>
  <c r="S18" i="7"/>
  <c r="F18" i="7"/>
  <c r="M193" i="1"/>
  <c r="O193" i="1" s="1"/>
  <c r="P193" i="1"/>
  <c r="S21" i="7"/>
  <c r="F21" i="7"/>
  <c r="H21" i="7"/>
  <c r="N23" i="7"/>
  <c r="T23" i="7" s="1"/>
  <c r="N13" i="7"/>
  <c r="T13" i="7" s="1"/>
  <c r="N20" i="7"/>
  <c r="T20" i="7" s="1"/>
  <c r="N10" i="7"/>
  <c r="T10" i="7" s="1"/>
  <c r="N17" i="7"/>
  <c r="T17" i="7" s="1"/>
  <c r="N24" i="7"/>
  <c r="T24" i="7" s="1"/>
  <c r="C8" i="8"/>
  <c r="E8" i="8" s="1"/>
  <c r="N22" i="7"/>
  <c r="T22" i="7" s="1"/>
  <c r="N12" i="7"/>
  <c r="T12" i="7" s="1"/>
  <c r="C7" i="8"/>
  <c r="N16" i="7"/>
  <c r="T16" i="7" s="1"/>
  <c r="N21" i="7"/>
  <c r="T21" i="7" s="1"/>
  <c r="N19" i="7"/>
  <c r="T19" i="7" s="1"/>
  <c r="N7" i="7"/>
  <c r="T7" i="7" s="1"/>
  <c r="N15" i="7"/>
  <c r="T15" i="7" s="1"/>
  <c r="N9" i="7"/>
  <c r="T9" i="7" s="1"/>
  <c r="N18" i="7"/>
  <c r="T18" i="7" s="1"/>
  <c r="N6" i="7"/>
  <c r="T6" i="7" s="1"/>
  <c r="N5" i="7"/>
  <c r="N8" i="7"/>
  <c r="T8" i="7" s="1"/>
  <c r="M148" i="1"/>
  <c r="O148" i="1" s="1"/>
  <c r="N14" i="7"/>
  <c r="T14" i="7" s="1"/>
  <c r="N11" i="7"/>
  <c r="T11" i="7" s="1"/>
  <c r="P148" i="1"/>
  <c r="M212" i="1"/>
  <c r="O212" i="1" s="1"/>
  <c r="P212" i="1"/>
  <c r="M188" i="1"/>
  <c r="O188" i="1" s="1"/>
  <c r="P188" i="1"/>
  <c r="H8" i="7"/>
  <c r="S8" i="7"/>
  <c r="F8" i="7"/>
  <c r="H15" i="7"/>
  <c r="F15" i="7"/>
  <c r="S15" i="7"/>
  <c r="P166" i="1"/>
  <c r="M166" i="1"/>
  <c r="O166" i="1" s="1"/>
  <c r="S23" i="7"/>
  <c r="H23" i="7"/>
  <c r="F23" i="7"/>
  <c r="O19" i="7"/>
  <c r="S20" i="7"/>
  <c r="F20" i="7"/>
  <c r="H20" i="7"/>
  <c r="O12" i="7"/>
  <c r="S12" i="7"/>
  <c r="H12" i="7"/>
  <c r="F12" i="7"/>
  <c r="P239" i="1"/>
  <c r="M239" i="1"/>
  <c r="O239" i="1" s="1"/>
  <c r="M5" i="7"/>
  <c r="M25" i="7" s="1"/>
  <c r="U24" i="6"/>
  <c r="O11" i="7"/>
  <c r="P222" i="1"/>
  <c r="M222" i="1"/>
  <c r="O222" i="1" s="1"/>
  <c r="M162" i="1"/>
  <c r="O162" i="1" s="1"/>
  <c r="P162" i="1"/>
  <c r="M153" i="1"/>
  <c r="O153" i="1" s="1"/>
  <c r="P153" i="1"/>
  <c r="P202" i="1"/>
  <c r="M202" i="1"/>
  <c r="O202" i="1" s="1"/>
  <c r="H22" i="7"/>
  <c r="S22" i="7"/>
  <c r="F22" i="7"/>
  <c r="H17" i="7"/>
  <c r="F17" i="7"/>
  <c r="S17" i="7"/>
  <c r="F25" i="7" l="1"/>
  <c r="G49" i="7" s="1"/>
  <c r="O7" i="7"/>
  <c r="V7" i="7" s="1"/>
  <c r="W7" i="7" s="1"/>
  <c r="O9" i="7"/>
  <c r="U15" i="7"/>
  <c r="V15" i="7"/>
  <c r="W15" i="7" s="1"/>
  <c r="C13" i="8"/>
  <c r="E13" i="8" s="1"/>
  <c r="E7" i="8"/>
  <c r="C12" i="8"/>
  <c r="E12" i="8" s="1"/>
  <c r="U14" i="7"/>
  <c r="V14" i="7"/>
  <c r="W14" i="7" s="1"/>
  <c r="U24" i="7"/>
  <c r="V24" i="7"/>
  <c r="W24" i="7" s="1"/>
  <c r="O17" i="7"/>
  <c r="V17" i="7" s="1"/>
  <c r="W17" i="7" s="1"/>
  <c r="V19" i="7"/>
  <c r="W19" i="7" s="1"/>
  <c r="U19" i="7"/>
  <c r="O18" i="7"/>
  <c r="V12" i="7"/>
  <c r="W12" i="7" s="1"/>
  <c r="U12" i="7"/>
  <c r="V8" i="7"/>
  <c r="W8" i="7" s="1"/>
  <c r="U8" i="7"/>
  <c r="O13" i="7"/>
  <c r="V13" i="7" s="1"/>
  <c r="W13" i="7" s="1"/>
  <c r="T5" i="7"/>
  <c r="T25" i="7" s="1"/>
  <c r="N25" i="7"/>
  <c r="V10" i="7"/>
  <c r="W10" i="7" s="1"/>
  <c r="H24" i="8"/>
  <c r="H22" i="8"/>
  <c r="H20" i="8"/>
  <c r="H18" i="8"/>
  <c r="H23" i="8"/>
  <c r="H21" i="8"/>
  <c r="H19" i="8"/>
  <c r="G25" i="8"/>
  <c r="O8" i="7"/>
  <c r="O14" i="7"/>
  <c r="O15" i="7"/>
  <c r="O6" i="7"/>
  <c r="O25" i="7" s="1"/>
  <c r="S25" i="7"/>
  <c r="U13" i="7"/>
  <c r="V16" i="7"/>
  <c r="W16" i="7" s="1"/>
  <c r="U16" i="7"/>
  <c r="U18" i="7"/>
  <c r="V18" i="7"/>
  <c r="W18" i="7" s="1"/>
  <c r="V11" i="7"/>
  <c r="W11" i="7" s="1"/>
  <c r="U11" i="7"/>
  <c r="U5" i="7"/>
  <c r="H25" i="7"/>
  <c r="V5" i="7"/>
  <c r="V23" i="7"/>
  <c r="W23" i="7" s="1"/>
  <c r="U23" i="7"/>
  <c r="V22" i="7"/>
  <c r="W22" i="7" s="1"/>
  <c r="U22" i="7"/>
  <c r="O10" i="7"/>
  <c r="U10" i="7" s="1"/>
  <c r="O24" i="7"/>
  <c r="O20" i="7"/>
  <c r="U20" i="7" s="1"/>
  <c r="O21" i="7"/>
  <c r="U21" i="7" s="1"/>
  <c r="V9" i="7"/>
  <c r="W9" i="7" s="1"/>
  <c r="U9" i="7"/>
  <c r="G54" i="7" l="1"/>
  <c r="G33" i="7"/>
  <c r="V6" i="7"/>
  <c r="W6" i="7" s="1"/>
  <c r="W5" i="7"/>
  <c r="V21" i="7"/>
  <c r="W21" i="7" s="1"/>
  <c r="U7" i="7"/>
  <c r="G51" i="7"/>
  <c r="G30" i="7"/>
  <c r="V25" i="7"/>
  <c r="V20" i="7"/>
  <c r="W20" i="7" s="1"/>
  <c r="U17" i="7"/>
  <c r="U6" i="7"/>
  <c r="U25" i="7" s="1"/>
  <c r="G53" i="7"/>
  <c r="G32" i="7"/>
  <c r="G55" i="7" l="1"/>
  <c r="G34" i="7"/>
  <c r="G36" i="7"/>
  <c r="G37" i="7"/>
  <c r="W25" i="7"/>
  <c r="G35" i="7"/>
</calcChain>
</file>

<file path=xl/sharedStrings.xml><?xml version="1.0" encoding="utf-8"?>
<sst xmlns="http://schemas.openxmlformats.org/spreadsheetml/2006/main" count="4852" uniqueCount="978">
  <si>
    <t>No</t>
  </si>
  <si>
    <t>No ID</t>
  </si>
  <si>
    <t>sana</t>
  </si>
  <si>
    <t>Proeyekt nomi</t>
  </si>
  <si>
    <t>Tushum nomi</t>
  </si>
  <si>
    <t>Harajat nomi</t>
  </si>
  <si>
    <t>Buyurtmachi</t>
  </si>
  <si>
    <t>Mas'ul</t>
  </si>
  <si>
    <t>kimga tolangani</t>
  </si>
  <si>
    <t>Hujjat ID</t>
  </si>
  <si>
    <t>Shartnoma (USD)</t>
  </si>
  <si>
    <t>Shartnoma (UZS)</t>
  </si>
  <si>
    <t>Summa (USD)</t>
  </si>
  <si>
    <t>Summa (UZS)</t>
  </si>
  <si>
    <t>Qoldiq (USD)</t>
  </si>
  <si>
    <t>Qoldiq (UZS)</t>
  </si>
  <si>
    <t>To'lov turi</t>
  </si>
  <si>
    <t>Kategoriya</t>
  </si>
  <si>
    <t>Muddat</t>
  </si>
  <si>
    <t>Status</t>
  </si>
  <si>
    <t>sharx</t>
  </si>
  <si>
    <t>PRJ-001</t>
  </si>
  <si>
    <t>Toshkent City Tower</t>
  </si>
  <si>
    <t>Toshkent City Tower — avans 40%</t>
  </si>
  <si>
    <t>Toshkent Invest LLC</t>
  </si>
  <si>
    <t>Aliyev Sardor</t>
  </si>
  <si>
    <t>Karimov Sherzod</t>
  </si>
  <si>
    <t>SH-001</t>
  </si>
  <si>
    <t>Bank o'tkazmasi</t>
  </si>
  <si>
    <t>Tushum</t>
  </si>
  <si>
    <t>To'langan</t>
  </si>
  <si>
    <t>Avans 40%</t>
  </si>
  <si>
    <t>PRJ-002</t>
  </si>
  <si>
    <t>Samarqand Hotel</t>
  </si>
  <si>
    <t>Samarqand Hotel — avans 40%</t>
  </si>
  <si>
    <t>Silk Road Hotels</t>
  </si>
  <si>
    <t>Karimov Davron</t>
  </si>
  <si>
    <t>Muxammadiyev Baxtiyor</t>
  </si>
  <si>
    <t>SH-002</t>
  </si>
  <si>
    <t>Toshkent City Tower — 2-to'lov 30%</t>
  </si>
  <si>
    <t>2-bosqich 30%</t>
  </si>
  <si>
    <t>PRJ-003</t>
  </si>
  <si>
    <t>Buxoro Madaniyat Markazi</t>
  </si>
  <si>
    <t>Buxoro Madaniyat Markazi — avans 40%</t>
  </si>
  <si>
    <t>Buxoro Hokimligi</t>
  </si>
  <si>
    <t>Rahimov Jasur</t>
  </si>
  <si>
    <t>Xasanov Nodir</t>
  </si>
  <si>
    <t>SH-003</t>
  </si>
  <si>
    <t>Samarqand Hotel — 2-to'lov 30%</t>
  </si>
  <si>
    <t>Buxoro Madaniyat Markazi — 2-to'lov 30%</t>
  </si>
  <si>
    <t>PRJ-004</t>
  </si>
  <si>
    <t>Chilonzor Turar-joy</t>
  </si>
  <si>
    <t>Chilonzor Turar-joy — avans 40%</t>
  </si>
  <si>
    <t>Ideal House LLC</t>
  </si>
  <si>
    <t>Abdullayev Ravshan</t>
  </si>
  <si>
    <t>SH-004</t>
  </si>
  <si>
    <t>Toshkent City Tower — yakuniy 30%</t>
  </si>
  <si>
    <t>Yakuniy 30%</t>
  </si>
  <si>
    <t>Samarqand Hotel — yakuniy 30%</t>
  </si>
  <si>
    <t>PRJ-005</t>
  </si>
  <si>
    <t>Nukus Biznes Markazi</t>
  </si>
  <si>
    <t>Nukus Biznes Markazi — avans 40%</t>
  </si>
  <si>
    <t>Nukus Development</t>
  </si>
  <si>
    <t>Qoraboyev Otabek</t>
  </si>
  <si>
    <t>SH-005</t>
  </si>
  <si>
    <t>Chilonzor Turar-joy — 2-to'lov 30%</t>
  </si>
  <si>
    <t>Buxoro Madaniyat Markazi — yakuniy 30%</t>
  </si>
  <si>
    <t>Nukus Biznes Markazi — 2-to'lov 30%</t>
  </si>
  <si>
    <t>PRJ-006</t>
  </si>
  <si>
    <t>Fargona Shopping Mall</t>
  </si>
  <si>
    <t>Fargona Shopping Mall — avans 40%</t>
  </si>
  <si>
    <t>Fargona Trade LLC</t>
  </si>
  <si>
    <t>Toshmatov Bekzod</t>
  </si>
  <si>
    <t>Yusupov Sardor</t>
  </si>
  <si>
    <t>SH-006</t>
  </si>
  <si>
    <t>Chilonzor Turar-joy — yakuniy 30%</t>
  </si>
  <si>
    <t>Nukus Biznes Markazi — yakuniy 30%</t>
  </si>
  <si>
    <t>PRJ-007</t>
  </si>
  <si>
    <t>Toshkent Metro Stansiya</t>
  </si>
  <si>
    <t>Toshkent Metro Stansiya — avans 40%</t>
  </si>
  <si>
    <t>Toshkent Metro</t>
  </si>
  <si>
    <t>Alimov Farhod</t>
  </si>
  <si>
    <t>SH-007</t>
  </si>
  <si>
    <t>Fargona Shopping Mall — 2-to'lov 30%</t>
  </si>
  <si>
    <t>PRJ-008</t>
  </si>
  <si>
    <t>Namangan Klinika</t>
  </si>
  <si>
    <t>Namangan Klinika — avans 40%</t>
  </si>
  <si>
    <t>Namangan Med</t>
  </si>
  <si>
    <t>Tursunov Jamshid</t>
  </si>
  <si>
    <t>SH-008</t>
  </si>
  <si>
    <t>Toshkent Metro Stansiya — 2-to'lov 30%</t>
  </si>
  <si>
    <t>Fargona Shopping Mall — yakuniy 30%</t>
  </si>
  <si>
    <t>PRJ-009</t>
  </si>
  <si>
    <t>Andijon Sport Majmuasi</t>
  </si>
  <si>
    <t>Andijon Sport Majmuasi — avans 40%</t>
  </si>
  <si>
    <t>Andijon Hokimligi</t>
  </si>
  <si>
    <t>Normatov Ulugbek</t>
  </si>
  <si>
    <t>SH-009</t>
  </si>
  <si>
    <t>Namangan Klinika — 2-to'lov 30%</t>
  </si>
  <si>
    <t>Toshkent Metro Stansiya — yakuniy 30%</t>
  </si>
  <si>
    <t>Andijon Sport Majmuasi — 2-to'lov 30%</t>
  </si>
  <si>
    <t>PRJ-010</t>
  </si>
  <si>
    <t>Toshkent Ofis Binosi</t>
  </si>
  <si>
    <t>Toshkent Ofis Binosi — avans 40%</t>
  </si>
  <si>
    <t>Tech Park LLC</t>
  </si>
  <si>
    <t>Rizayev Timur</t>
  </si>
  <si>
    <t>SH-010</t>
  </si>
  <si>
    <t>Namangan Klinika — yakuniy 30%</t>
  </si>
  <si>
    <t>PRJ-011</t>
  </si>
  <si>
    <t>Jizzax Maktab Loyihasi</t>
  </si>
  <si>
    <t>Jizzax Maktab Loyihasi — avans 40%</t>
  </si>
  <si>
    <t>Jizzax Talim</t>
  </si>
  <si>
    <t>Xolmatov Akbar</t>
  </si>
  <si>
    <t>SH-011</t>
  </si>
  <si>
    <t>Toshkent Ofis Binosi — 2-to'lov 30%</t>
  </si>
  <si>
    <t>Andijon Sport Majmuasi — yakuniy 30%</t>
  </si>
  <si>
    <t>PRJ-012</t>
  </si>
  <si>
    <t>Qarshi Villa Majmuasi</t>
  </si>
  <si>
    <t>Qarshi Villa Majmuasi — avans 40%</t>
  </si>
  <si>
    <t>Green Villa LLC</t>
  </si>
  <si>
    <t>Zokirov Bobur</t>
  </si>
  <si>
    <t>SH-012</t>
  </si>
  <si>
    <t>Jizzax Maktab Loyihasi — 2-to'lov 30%</t>
  </si>
  <si>
    <t>Toshkent Ofis Binosi — yakuniy 30%</t>
  </si>
  <si>
    <t>PRJ-013</t>
  </si>
  <si>
    <t>Toshkent Restoran Dizayn</t>
  </si>
  <si>
    <t>Toshkent Restoran Dizayn — avans 40%</t>
  </si>
  <si>
    <t>Plov House LLC</t>
  </si>
  <si>
    <t>Nurmatova Dilnoza</t>
  </si>
  <si>
    <t>Ergashev Dilshod</t>
  </si>
  <si>
    <t>SH-013</t>
  </si>
  <si>
    <t>Qarshi Villa Majmuasi — 2-to'lov 30%</t>
  </si>
  <si>
    <t>Jizzax Maktab Loyihasi — yakuniy 30%</t>
  </si>
  <si>
    <t>Toshkent Restoran Dizayn — 2-to'lov 30%</t>
  </si>
  <si>
    <t>PRJ-014</t>
  </si>
  <si>
    <t>Xiva Turizm Markazi</t>
  </si>
  <si>
    <t>Xiva Turizm Markazi — avans 40%</t>
  </si>
  <si>
    <t>Xiva Tourism Dev</t>
  </si>
  <si>
    <t>Raxmatullayev Anvar</t>
  </si>
  <si>
    <t>SH-014</t>
  </si>
  <si>
    <t>Qarshi Villa Majmuasi — yakuniy 30%</t>
  </si>
  <si>
    <t>PRJ-015</t>
  </si>
  <si>
    <t>Toshkent Coworking</t>
  </si>
  <si>
    <t>Toshkent Coworking — avans 40%</t>
  </si>
  <si>
    <t>Smart Work LLC</t>
  </si>
  <si>
    <t>Kamolov Jasur</t>
  </si>
  <si>
    <t>SH-015</t>
  </si>
  <si>
    <t>Toshkent Restoran Dizayn — yakuniy 30%</t>
  </si>
  <si>
    <t>Xiva Turizm Markazi — 2-to'lov 30%</t>
  </si>
  <si>
    <t>Toshkent Coworking — 2-to'lov 30%</t>
  </si>
  <si>
    <t>PRJ-016</t>
  </si>
  <si>
    <t>Sirdaryo Zavod Binosi</t>
  </si>
  <si>
    <t>Sirdaryo Zavod Binosi — avans 40%</t>
  </si>
  <si>
    <t>Sirdaryo Industrial</t>
  </si>
  <si>
    <t>Toshmatov Rustam</t>
  </si>
  <si>
    <t>SH-016</t>
  </si>
  <si>
    <t>Xiva Turizm Markazi — yakuniy 30%</t>
  </si>
  <si>
    <t>PRJ-017</t>
  </si>
  <si>
    <t>Navoiy Aeroport Dizayn</t>
  </si>
  <si>
    <t>Navoiy Aeroport Dizayn — avans 40%</t>
  </si>
  <si>
    <t>Navoiy Aero LLC</t>
  </si>
  <si>
    <t>Shodiyev Baxrom</t>
  </si>
  <si>
    <t>SH-017</t>
  </si>
  <si>
    <t>Sirdaryo Zavod Binosi — 2-to'lov 30%</t>
  </si>
  <si>
    <t>Toshkent Coworking — yakuniy 30%</t>
  </si>
  <si>
    <t>Navoiy Aeroport Dizayn — 2-to'lov 30%</t>
  </si>
  <si>
    <t>Sirdaryo Zavod Binosi — yakuniy 30%</t>
  </si>
  <si>
    <t>PRJ-018</t>
  </si>
  <si>
    <t>Toshkent IT Park 2</t>
  </si>
  <si>
    <t>Toshkent IT Park 2 — avans 40%</t>
  </si>
  <si>
    <t>IT Park Foundation</t>
  </si>
  <si>
    <t>Abduraxmanov Sardor</t>
  </si>
  <si>
    <t>SH-018</t>
  </si>
  <si>
    <t>Navoiy Aeroport Dizayn — yakuniy 30%</t>
  </si>
  <si>
    <t>Toshkent IT Park 2 — 2-to'lov 30%</t>
  </si>
  <si>
    <t>PRJ-019</t>
  </si>
  <si>
    <t>Fergana Textile HQ</t>
  </si>
  <si>
    <t>Fergana Textile HQ — avans 40%</t>
  </si>
  <si>
    <t>Fergana Textile</t>
  </si>
  <si>
    <t>Xudoyberganov Shuxrat</t>
  </si>
  <si>
    <t>SH-019</t>
  </si>
  <si>
    <t>Fergana Textile HQ — 2-to'lov 30%</t>
  </si>
  <si>
    <t>PRJ-020</t>
  </si>
  <si>
    <t>Toshkent Luxury Villa</t>
  </si>
  <si>
    <t>Toshkent Luxury Villa — avans 40%</t>
  </si>
  <si>
    <t>Premium Homes LLC</t>
  </si>
  <si>
    <t>Muminov Alisher</t>
  </si>
  <si>
    <t>SH-020</t>
  </si>
  <si>
    <t>Toshkent IT Park 2 — yakuniy 30%</t>
  </si>
  <si>
    <t>Toshkent Luxury Villa — 2-to'lov 30%</t>
  </si>
  <si>
    <t>Fergana Textile HQ — yakuniy 30%</t>
  </si>
  <si>
    <t>Kutilmoqda</t>
  </si>
  <si>
    <t>Toshkent Luxury Villa — yakuniy 30%</t>
  </si>
  <si>
    <t>Outsourcing — konstruktiv hisob</t>
  </si>
  <si>
    <t>Nazarov Ilhom</t>
  </si>
  <si>
    <t>Outsourcing</t>
  </si>
  <si>
    <t>StroyExpert LLC</t>
  </si>
  <si>
    <t>Outsourcing — ekspertiza</t>
  </si>
  <si>
    <t>Sotvoldiyev Jasur</t>
  </si>
  <si>
    <t>Viz Studio</t>
  </si>
  <si>
    <t>Material — chop etish</t>
  </si>
  <si>
    <t>Karimov Botir</t>
  </si>
  <si>
    <t>Naqd</t>
  </si>
  <si>
    <t>Material</t>
  </si>
  <si>
    <t>Tursunov Akmal</t>
  </si>
  <si>
    <t>Outsourcing — elektr loyiha</t>
  </si>
  <si>
    <t>Outsourcing — geodeziya</t>
  </si>
  <si>
    <t>Abdullayev Kamol</t>
  </si>
  <si>
    <t>GeoTech LLC</t>
  </si>
  <si>
    <t>Transport — yetkazish</t>
  </si>
  <si>
    <t>Transport</t>
  </si>
  <si>
    <t>Outsourcing — vizualizatsiya</t>
  </si>
  <si>
    <t>Tojiboyev Sanjar</t>
  </si>
  <si>
    <t>Karta</t>
  </si>
  <si>
    <t>CalcPro LLC</t>
  </si>
  <si>
    <t>Xolmatov Doniyor</t>
  </si>
  <si>
    <t>Outsourcing — SME hisob</t>
  </si>
  <si>
    <t>Xolmatov Sanjarbek</t>
  </si>
  <si>
    <t>MEP Solutions</t>
  </si>
  <si>
    <t>Mirzayev Akmal</t>
  </si>
  <si>
    <t>ElectroPlan</t>
  </si>
  <si>
    <t>MIZAN xarajati — 1/8-oy</t>
  </si>
  <si>
    <t>Raximova Shaxlo</t>
  </si>
  <si>
    <t>Ichki hisob</t>
  </si>
  <si>
    <t>MIZAN</t>
  </si>
  <si>
    <t>1-oy / 8 oy</t>
  </si>
  <si>
    <t>MIZAN xarajati — 2/8-oy</t>
  </si>
  <si>
    <t>2-oy / 8 oy</t>
  </si>
  <si>
    <t>MIZAN xarajati — 1/10-oy</t>
  </si>
  <si>
    <t>1-oy / 10 oy</t>
  </si>
  <si>
    <t>MIZAN xarajati — 3/8-oy</t>
  </si>
  <si>
    <t>3-oy / 8 oy</t>
  </si>
  <si>
    <t>MIZAN xarajati — 2/10-oy</t>
  </si>
  <si>
    <t>2-oy / 10 oy</t>
  </si>
  <si>
    <t>MIZAN xarajati — 4/8-oy</t>
  </si>
  <si>
    <t>4-oy / 8 oy</t>
  </si>
  <si>
    <t>MIZAN xarajati — 3/10-oy</t>
  </si>
  <si>
    <t>3-oy / 10 oy</t>
  </si>
  <si>
    <t>MIZAN xarajati — 1/6-oy</t>
  </si>
  <si>
    <t>1-oy / 6 oy</t>
  </si>
  <si>
    <t>MIZAN xarajati — 5/8-oy</t>
  </si>
  <si>
    <t>5-oy / 8 oy</t>
  </si>
  <si>
    <t>MIZAN xarajati — 4/10-oy</t>
  </si>
  <si>
    <t>4-oy / 10 oy</t>
  </si>
  <si>
    <t>MIZAN xarajati — 2/6-oy</t>
  </si>
  <si>
    <t>2-oy / 6 oy</t>
  </si>
  <si>
    <t>MIZAN xarajati — 6/8-oy</t>
  </si>
  <si>
    <t>6-oy / 8 oy</t>
  </si>
  <si>
    <t>MIZAN xarajati — 5/10-oy</t>
  </si>
  <si>
    <t>5-oy / 10 oy</t>
  </si>
  <si>
    <t>MIZAN xarajati — 3/6-oy</t>
  </si>
  <si>
    <t>3-oy / 6 oy</t>
  </si>
  <si>
    <t>MIZAN xarajati — 1/5-oy</t>
  </si>
  <si>
    <t>1-oy / 5 oy</t>
  </si>
  <si>
    <t>MIZAN xarajati — 7/8-oy</t>
  </si>
  <si>
    <t>7-oy / 8 oy</t>
  </si>
  <si>
    <t>MIZAN xarajati — 6/10-oy</t>
  </si>
  <si>
    <t>6-oy / 10 oy</t>
  </si>
  <si>
    <t>MIZAN xarajati — 4/6-oy</t>
  </si>
  <si>
    <t>4-oy / 6 oy</t>
  </si>
  <si>
    <t>MIZAN xarajati — 2/5-oy</t>
  </si>
  <si>
    <t>2-oy / 5 oy</t>
  </si>
  <si>
    <t>MIZAN xarajati — 8/8-oy</t>
  </si>
  <si>
    <t>8-oy / 8 oy</t>
  </si>
  <si>
    <t>MIZAN xarajati — 7/10-oy</t>
  </si>
  <si>
    <t>7-oy / 10 oy</t>
  </si>
  <si>
    <t>MIZAN xarajati — 5/6-oy</t>
  </si>
  <si>
    <t>5-oy / 6 oy</t>
  </si>
  <si>
    <t>MIZAN xarajati — 3/5-oy</t>
  </si>
  <si>
    <t>3-oy / 5 oy</t>
  </si>
  <si>
    <t>YAKUNIY HISOB — Plan vs Fakt farqi</t>
  </si>
  <si>
    <t>Yakuniy tuzatish: Plan vs Fakt farqi</t>
  </si>
  <si>
    <t>MIZAN xarajati — 8/10-oy</t>
  </si>
  <si>
    <t>8-oy / 10 oy</t>
  </si>
  <si>
    <t>MIZAN xarajati — 6/6-oy</t>
  </si>
  <si>
    <t>6-oy / 6 oy</t>
  </si>
  <si>
    <t>MIZAN xarajati — 4/5-oy</t>
  </si>
  <si>
    <t>4-oy / 5 oy</t>
  </si>
  <si>
    <t>MIZAN xarajati — 9/10-oy</t>
  </si>
  <si>
    <t>9-oy / 10 oy</t>
  </si>
  <si>
    <t>MIZAN xarajati — 5/5-oy</t>
  </si>
  <si>
    <t>5-oy / 5 oy</t>
  </si>
  <si>
    <t>MIZAN xarajati — 1/9-oy</t>
  </si>
  <si>
    <t>1-oy / 9 oy</t>
  </si>
  <si>
    <t>MIZAN xarajati — 10/10-oy</t>
  </si>
  <si>
    <t>10-oy / 10 oy</t>
  </si>
  <si>
    <t>MIZAN xarajati — 2/9-oy</t>
  </si>
  <si>
    <t>2-oy / 9 oy</t>
  </si>
  <si>
    <t>MIZAN xarajati — 3/9-oy</t>
  </si>
  <si>
    <t>3-oy / 9 oy</t>
  </si>
  <si>
    <t>MIZAN xarajati — 1/12-oy</t>
  </si>
  <si>
    <t>1-oy / 12 oy</t>
  </si>
  <si>
    <t>MIZAN xarajati — 4/9-oy</t>
  </si>
  <si>
    <t>4-oy / 9 oy</t>
  </si>
  <si>
    <t>MIZAN xarajati — 2/12-oy</t>
  </si>
  <si>
    <t>2-oy / 12 oy</t>
  </si>
  <si>
    <t>MIZAN xarajati — 5/9-oy</t>
  </si>
  <si>
    <t>5-oy / 9 oy</t>
  </si>
  <si>
    <t>MIZAN xarajati — 3/12-oy</t>
  </si>
  <si>
    <t>3-oy / 12 oy</t>
  </si>
  <si>
    <t>MIZAN xarajati — 6/9-oy</t>
  </si>
  <si>
    <t>6-oy / 9 oy</t>
  </si>
  <si>
    <t>MIZAN xarajati — 4/12-oy</t>
  </si>
  <si>
    <t>4-oy / 12 oy</t>
  </si>
  <si>
    <t>MIZAN xarajati — 7/9-oy</t>
  </si>
  <si>
    <t>7-oy / 9 oy</t>
  </si>
  <si>
    <t>MIZAN xarajati — 5/12-oy</t>
  </si>
  <si>
    <t>5-oy / 12 oy</t>
  </si>
  <si>
    <t>MIZAN xarajati — 8/9-oy</t>
  </si>
  <si>
    <t>8-oy / 9 oy</t>
  </si>
  <si>
    <t>MIZAN xarajati — 6/12-oy</t>
  </si>
  <si>
    <t>6-oy / 12 oy</t>
  </si>
  <si>
    <t>MIZAN xarajati — 9/9-oy</t>
  </si>
  <si>
    <t>9-oy / 9 oy</t>
  </si>
  <si>
    <t>MIZAN xarajati — 7/12-oy</t>
  </si>
  <si>
    <t>7-oy / 12 oy</t>
  </si>
  <si>
    <t>MIZAN xarajati — 1/7-oy</t>
  </si>
  <si>
    <t>1-oy / 7 oy</t>
  </si>
  <si>
    <t>MIZAN xarajati — 8/12-oy</t>
  </si>
  <si>
    <t>8-oy / 12 oy</t>
  </si>
  <si>
    <t>MIZAN xarajati — 2/7-oy</t>
  </si>
  <si>
    <t>2-oy / 7 oy</t>
  </si>
  <si>
    <t>MIZAN xarajati — 9/12-oy</t>
  </si>
  <si>
    <t>9-oy / 12 oy</t>
  </si>
  <si>
    <t>MIZAN xarajati — 3/7-oy</t>
  </si>
  <si>
    <t>3-oy / 7 oy</t>
  </si>
  <si>
    <t>MIZAN xarajati — 1/4-oy</t>
  </si>
  <si>
    <t>1-oy / 4 oy</t>
  </si>
  <si>
    <t>MIZAN xarajati — 10/12-oy</t>
  </si>
  <si>
    <t>10-oy / 12 oy</t>
  </si>
  <si>
    <t>MIZAN xarajati — 4/7-oy</t>
  </si>
  <si>
    <t>4-oy / 7 oy</t>
  </si>
  <si>
    <t>MIZAN xarajati — 2/4-oy</t>
  </si>
  <si>
    <t>2-oy / 4 oy</t>
  </si>
  <si>
    <t>MIZAN xarajati — 11/12-oy</t>
  </si>
  <si>
    <t>11-oy / 12 oy</t>
  </si>
  <si>
    <t>MIZAN xarajati — 5/7-oy</t>
  </si>
  <si>
    <t>5-oy / 7 oy</t>
  </si>
  <si>
    <t>MIZAN xarajati — 3/4-oy</t>
  </si>
  <si>
    <t>3-oy / 4 oy</t>
  </si>
  <si>
    <t>MIZAN xarajati — 12/12-oy</t>
  </si>
  <si>
    <t>12-oy / 12 oy</t>
  </si>
  <si>
    <t>MIZAN xarajati — 6/7-oy</t>
  </si>
  <si>
    <t>6-oy / 7 oy</t>
  </si>
  <si>
    <t>MIZAN xarajati — 4/4-oy</t>
  </si>
  <si>
    <t>4-oy / 4 oy</t>
  </si>
  <si>
    <t>MIZAN xarajati — 7/7-oy</t>
  </si>
  <si>
    <t>7-oy / 7 oy</t>
  </si>
  <si>
    <t>MIZAN xarajati — 1/3-oy</t>
  </si>
  <si>
    <t>1-oy / 3 oy</t>
  </si>
  <si>
    <t>MIZAN xarajati — 2/3-oy</t>
  </si>
  <si>
    <t>2-oy / 3 oy</t>
  </si>
  <si>
    <t>MIZAN xarajati — 3/3-oy</t>
  </si>
  <si>
    <t>3-oy / 3 oy</t>
  </si>
  <si>
    <t>mas'ul shaxs</t>
  </si>
  <si>
    <t>Kim yoki kimga to'langan</t>
  </si>
  <si>
    <t>Shartnoma
(UZS)</t>
  </si>
  <si>
    <t>Summa
(UZS)</t>
  </si>
  <si>
    <t>Qoldiq
(UZS)</t>
  </si>
  <si>
    <t>Shartnoma
(USD)</t>
  </si>
  <si>
    <t>Summa
(USD)</t>
  </si>
  <si>
    <t>Qoldiq
(USD)</t>
  </si>
  <si>
    <t>MZ-0006</t>
  </si>
  <si>
    <t>Dasturlar litsenziya</t>
  </si>
  <si>
    <t>Xolmatov Ulugbek</t>
  </si>
  <si>
    <t>Kamolov Rustam</t>
  </si>
  <si>
    <t>Yillik</t>
  </si>
  <si>
    <t>MZ-0009</t>
  </si>
  <si>
    <t>Malaka oshirish</t>
  </si>
  <si>
    <t>Azimov Bobur</t>
  </si>
  <si>
    <t>Xasanova Dilfuza</t>
  </si>
  <si>
    <t>MZ-0004</t>
  </si>
  <si>
    <t>Ofis ijarasi</t>
  </si>
  <si>
    <t>MZ-0005</t>
  </si>
  <si>
    <t>Ovqat xarajatlari</t>
  </si>
  <si>
    <t>MZ-0008</t>
  </si>
  <si>
    <t>Kommunal to'lovlar</t>
  </si>
  <si>
    <t>MZ-0001</t>
  </si>
  <si>
    <t>PRJ-001 MIZAN ulushi</t>
  </si>
  <si>
    <t>Proekt ulushi</t>
  </si>
  <si>
    <t>MZ-0007</t>
  </si>
  <si>
    <t>Soliqlar</t>
  </si>
  <si>
    <t>Sobirova Malika</t>
  </si>
  <si>
    <t>MZ-0002</t>
  </si>
  <si>
    <t>Xodimlar ish haqi</t>
  </si>
  <si>
    <t>22 xodim</t>
  </si>
  <si>
    <t>MZ-0003</t>
  </si>
  <si>
    <t>Premiyalar</t>
  </si>
  <si>
    <t>MZ-0013</t>
  </si>
  <si>
    <t>MZ-0014</t>
  </si>
  <si>
    <t>MZ-0016</t>
  </si>
  <si>
    <t>MZ-0010</t>
  </si>
  <si>
    <t>PRJ-002 MIZAN ulushi</t>
  </si>
  <si>
    <t>MZ-0015</t>
  </si>
  <si>
    <t>MZ-0011</t>
  </si>
  <si>
    <t>MZ-0012</t>
  </si>
  <si>
    <t>MZ-0019</t>
  </si>
  <si>
    <t>MZ-0020</t>
  </si>
  <si>
    <t>MZ-0022</t>
  </si>
  <si>
    <t>MZ-0021</t>
  </si>
  <si>
    <t>MZ-0017</t>
  </si>
  <si>
    <t>MZ-0018</t>
  </si>
  <si>
    <t>MZ-0026</t>
  </si>
  <si>
    <t>MZ-0027</t>
  </si>
  <si>
    <t>MZ-0029</t>
  </si>
  <si>
    <t>MZ-0023</t>
  </si>
  <si>
    <t>PRJ-003 MIZAN ulushi</t>
  </si>
  <si>
    <t>MZ-0028</t>
  </si>
  <si>
    <t>MZ-0024</t>
  </si>
  <si>
    <t>MZ-0025</t>
  </si>
  <si>
    <t>MZ-0035</t>
  </si>
  <si>
    <t>MZ-0031</t>
  </si>
  <si>
    <t>MZ-0032</t>
  </si>
  <si>
    <t>MZ-0034</t>
  </si>
  <si>
    <t>MZ-0033</t>
  </si>
  <si>
    <t>MZ-0030</t>
  </si>
  <si>
    <t>MZ-0039</t>
  </si>
  <si>
    <t>MZ-0040</t>
  </si>
  <si>
    <t>MZ-0042</t>
  </si>
  <si>
    <t>MZ-0036</t>
  </si>
  <si>
    <t>PRJ-004 MIZAN ulushi</t>
  </si>
  <si>
    <t>MZ-0041</t>
  </si>
  <si>
    <t>MZ-0037</t>
  </si>
  <si>
    <t>MZ-0038</t>
  </si>
  <si>
    <t>MZ-0046</t>
  </si>
  <si>
    <t>MZ-0044</t>
  </si>
  <si>
    <t>MZ-0045</t>
  </si>
  <si>
    <t>MZ-0048</t>
  </si>
  <si>
    <t>MZ-0047</t>
  </si>
  <si>
    <t>MZ-0043</t>
  </si>
  <si>
    <t>MZ-0052</t>
  </si>
  <si>
    <t>MZ-0053</t>
  </si>
  <si>
    <t>MZ-0055</t>
  </si>
  <si>
    <t>MZ-0049</t>
  </si>
  <si>
    <t>PRJ-005 MIZAN ulushi</t>
  </si>
  <si>
    <t>MZ-0054</t>
  </si>
  <si>
    <t>MZ-0050</t>
  </si>
  <si>
    <t>MZ-0051</t>
  </si>
  <si>
    <t>MZ-0058</t>
  </si>
  <si>
    <t>MZ-0059</t>
  </si>
  <si>
    <t>MZ-0061</t>
  </si>
  <si>
    <t>MZ-0060</t>
  </si>
  <si>
    <t>MZ-0056</t>
  </si>
  <si>
    <t>MZ-0057</t>
  </si>
  <si>
    <t>MZ-0068</t>
  </si>
  <si>
    <t>MZ-0064</t>
  </si>
  <si>
    <t>MZ-0065</t>
  </si>
  <si>
    <t>MZ-0067</t>
  </si>
  <si>
    <t>MZ-0062</t>
  </si>
  <si>
    <t>PRJ-006 MIZAN ulushi</t>
  </si>
  <si>
    <t>MZ-0066</t>
  </si>
  <si>
    <t>MZ-0063</t>
  </si>
  <si>
    <t>MZ-0071</t>
  </si>
  <si>
    <t>MZ-0072</t>
  </si>
  <si>
    <t>MZ-0074</t>
  </si>
  <si>
    <t>MZ-0073</t>
  </si>
  <si>
    <t>MZ-0069</t>
  </si>
  <si>
    <t>MZ-0070</t>
  </si>
  <si>
    <t>MZ-0082</t>
  </si>
  <si>
    <t>MZ-0078</t>
  </si>
  <si>
    <t>MZ-0079</t>
  </si>
  <si>
    <t>MZ-0081</t>
  </si>
  <si>
    <t>MZ-0075</t>
  </si>
  <si>
    <t>PRJ-007 MIZAN ulushi</t>
  </si>
  <si>
    <t>MZ-0080</t>
  </si>
  <si>
    <t>MZ-0076</t>
  </si>
  <si>
    <t>MZ-0077</t>
  </si>
  <si>
    <t>MZ-0086</t>
  </si>
  <si>
    <t>MZ-0089</t>
  </si>
  <si>
    <t>MZ-0084</t>
  </si>
  <si>
    <t>MZ-0085</t>
  </si>
  <si>
    <t>MZ-0088</t>
  </si>
  <si>
    <t>MZ-0087</t>
  </si>
  <si>
    <t>MZ-0083</t>
  </si>
  <si>
    <t>MZ-0096</t>
  </si>
  <si>
    <t>MZ-0092</t>
  </si>
  <si>
    <t>MZ-0093</t>
  </si>
  <si>
    <t>MZ-0095</t>
  </si>
  <si>
    <t>MZ-0090</t>
  </si>
  <si>
    <t>PRJ-008 MIZAN ulushi</t>
  </si>
  <si>
    <t>MZ-0094</t>
  </si>
  <si>
    <t>MZ-0091</t>
  </si>
  <si>
    <t>MZ-0099</t>
  </si>
  <si>
    <t>MZ-0100</t>
  </si>
  <si>
    <t>MZ-0102</t>
  </si>
  <si>
    <t>MZ-0101</t>
  </si>
  <si>
    <t>MZ-0097</t>
  </si>
  <si>
    <t>MZ-0098</t>
  </si>
  <si>
    <t>MZ-0106</t>
  </si>
  <si>
    <t>MZ-0107</t>
  </si>
  <si>
    <t>MZ-0109</t>
  </si>
  <si>
    <t>MZ-0103</t>
  </si>
  <si>
    <t>PRJ-009 MIZAN ulushi</t>
  </si>
  <si>
    <t>MZ-0108</t>
  </si>
  <si>
    <t>MZ-0110</t>
  </si>
  <si>
    <t>MZ-0104</t>
  </si>
  <si>
    <t>MZ-0105</t>
  </si>
  <si>
    <t>MZ-0112</t>
  </si>
  <si>
    <t>MZ-0113</t>
  </si>
  <si>
    <t>MZ-0115</t>
  </si>
  <si>
    <t>MZ-0114</t>
  </si>
  <si>
    <t>MZ-0116</t>
  </si>
  <si>
    <t>MZ-0111</t>
  </si>
  <si>
    <t>MZ-0120</t>
  </si>
  <si>
    <t>MZ-0121</t>
  </si>
  <si>
    <t>MZ-0123</t>
  </si>
  <si>
    <t>MZ-0117</t>
  </si>
  <si>
    <t>PRJ-010 MIZAN ulushi</t>
  </si>
  <si>
    <t>MZ-0122</t>
  </si>
  <si>
    <t>MZ-0118</t>
  </si>
  <si>
    <t>MZ-0119</t>
  </si>
  <si>
    <t>MZ-0128</t>
  </si>
  <si>
    <t>MZ-0126</t>
  </si>
  <si>
    <t>MZ-0127</t>
  </si>
  <si>
    <t>MZ-0130</t>
  </si>
  <si>
    <t>MZ-0129</t>
  </si>
  <si>
    <t>MZ-0131</t>
  </si>
  <si>
    <t>MZ-0124</t>
  </si>
  <si>
    <t>MZ-0125</t>
  </si>
  <si>
    <t>MZ-0135</t>
  </si>
  <si>
    <t>MZ-0136</t>
  </si>
  <si>
    <t>MZ-0138</t>
  </si>
  <si>
    <t>MZ-0132</t>
  </si>
  <si>
    <t>PRJ-011 MIZAN ulushi</t>
  </si>
  <si>
    <t>MZ-0137</t>
  </si>
  <si>
    <t>MZ-0133</t>
  </si>
  <si>
    <t>MZ-0134</t>
  </si>
  <si>
    <t>MZ-0141</t>
  </si>
  <si>
    <t>MZ-0142</t>
  </si>
  <si>
    <t>MZ-0144</t>
  </si>
  <si>
    <t>MZ-0143</t>
  </si>
  <si>
    <t>MZ-0139</t>
  </si>
  <si>
    <t>MZ-0140</t>
  </si>
  <si>
    <t>MZ-0148</t>
  </si>
  <si>
    <t>MZ-0149</t>
  </si>
  <si>
    <t>MZ-0151</t>
  </si>
  <si>
    <t>MZ-0145</t>
  </si>
  <si>
    <t>PRJ-012 MIZAN ulushi</t>
  </si>
  <si>
    <t>MZ-0150</t>
  </si>
  <si>
    <t>MZ-0152</t>
  </si>
  <si>
    <t>MZ-0146</t>
  </si>
  <si>
    <t>MZ-0147</t>
  </si>
  <si>
    <t>MZ-0155</t>
  </si>
  <si>
    <t>MZ-0156</t>
  </si>
  <si>
    <t>MZ-0158</t>
  </si>
  <si>
    <t>MZ-0157</t>
  </si>
  <si>
    <t>MZ-0153</t>
  </si>
  <si>
    <t>MZ-0154</t>
  </si>
  <si>
    <t>MZ-0162</t>
  </si>
  <si>
    <t>MZ-0163</t>
  </si>
  <si>
    <t>MZ-0165</t>
  </si>
  <si>
    <t>MZ-0159</t>
  </si>
  <si>
    <t>PRJ-013 MIZAN ulushi</t>
  </si>
  <si>
    <t>MZ-0164</t>
  </si>
  <si>
    <t>MZ-0160</t>
  </si>
  <si>
    <t>MZ-0161</t>
  </si>
  <si>
    <t>MZ-0169</t>
  </si>
  <si>
    <t>MZ-0167</t>
  </si>
  <si>
    <t>MZ-0168</t>
  </si>
  <si>
    <t>MZ-0171</t>
  </si>
  <si>
    <t>MZ-0170</t>
  </si>
  <si>
    <t>MZ-0172</t>
  </si>
  <si>
    <t>MZ-0166</t>
  </si>
  <si>
    <t>MZ-0175</t>
  </si>
  <si>
    <t>MZ-0176</t>
  </si>
  <si>
    <t>MZ-0178</t>
  </si>
  <si>
    <t>MZ-0173</t>
  </si>
  <si>
    <t>PRJ-014 MIZAN ulushi</t>
  </si>
  <si>
    <t>MZ-0177</t>
  </si>
  <si>
    <t>MZ-0174</t>
  </si>
  <si>
    <t>MZ-0180</t>
  </si>
  <si>
    <t>MZ-0181</t>
  </si>
  <si>
    <t>MZ-0183</t>
  </si>
  <si>
    <t>MZ-0182</t>
  </si>
  <si>
    <t>MZ-0179</t>
  </si>
  <si>
    <t>MZ-0186</t>
  </si>
  <si>
    <t>MZ-0190</t>
  </si>
  <si>
    <t>MZ-0187</t>
  </si>
  <si>
    <t>MZ-0189</t>
  </si>
  <si>
    <t>MZ-0184</t>
  </si>
  <si>
    <t>PRJ-015 MIZAN ulushi</t>
  </si>
  <si>
    <t>MZ-0188</t>
  </si>
  <si>
    <t>MZ-0185</t>
  </si>
  <si>
    <t>MZ-0192</t>
  </si>
  <si>
    <t>MZ-0193</t>
  </si>
  <si>
    <t>MZ-0195</t>
  </si>
  <si>
    <t>MZ-0194</t>
  </si>
  <si>
    <t>MZ-0191</t>
  </si>
  <si>
    <t>MZ-0199</t>
  </si>
  <si>
    <t>MZ-0200</t>
  </si>
  <si>
    <t>MZ-0202</t>
  </si>
  <si>
    <t>MZ-0196</t>
  </si>
  <si>
    <t>PRJ-016 MIZAN ulushi</t>
  </si>
  <si>
    <t>MZ-0201</t>
  </si>
  <si>
    <t>MZ-0197</t>
  </si>
  <si>
    <t>MZ-0198</t>
  </si>
  <si>
    <t>MZ-0206</t>
  </si>
  <si>
    <t>MZ-0204</t>
  </si>
  <si>
    <t>MZ-0205</t>
  </si>
  <si>
    <t>MZ-0208</t>
  </si>
  <si>
    <t>MZ-0207</t>
  </si>
  <si>
    <t>MZ-0203</t>
  </si>
  <si>
    <t>MZ-0212</t>
  </si>
  <si>
    <t>MZ-0216</t>
  </si>
  <si>
    <t>MZ-0213</t>
  </si>
  <si>
    <t>MZ-0215</t>
  </si>
  <si>
    <t>MZ-0209</t>
  </si>
  <si>
    <t>PRJ-017 MIZAN ulushi</t>
  </si>
  <si>
    <t>MZ-0214</t>
  </si>
  <si>
    <t>MZ-0210</t>
  </si>
  <si>
    <t>MZ-0211</t>
  </si>
  <si>
    <t>MZ-0218</t>
  </si>
  <si>
    <t>MZ-0219</t>
  </si>
  <si>
    <t>MZ-0221</t>
  </si>
  <si>
    <t>MZ-0220</t>
  </si>
  <si>
    <t>MZ-0217</t>
  </si>
  <si>
    <t>MZ-0224</t>
  </si>
  <si>
    <t>MZ-0225</t>
  </si>
  <si>
    <t>MZ-0227</t>
  </si>
  <si>
    <t>MZ-0226</t>
  </si>
  <si>
    <t>MZ-0228</t>
  </si>
  <si>
    <t>MZ-0222</t>
  </si>
  <si>
    <t>MZ-0223</t>
  </si>
  <si>
    <t>MZ-0232</t>
  </si>
  <si>
    <t>MZ-0233</t>
  </si>
  <si>
    <t>MZ-0235</t>
  </si>
  <si>
    <t>MZ-0229</t>
  </si>
  <si>
    <t>PRJ-018 MIZAN ulushi</t>
  </si>
  <si>
    <t>MZ-0234</t>
  </si>
  <si>
    <t>MZ-0230</t>
  </si>
  <si>
    <t>MZ-0231</t>
  </si>
  <si>
    <t>MZ-0238</t>
  </si>
  <si>
    <t>MZ-0239</t>
  </si>
  <si>
    <t>MZ-0241</t>
  </si>
  <si>
    <t>MZ-0242</t>
  </si>
  <si>
    <t>MZ-0240</t>
  </si>
  <si>
    <t>MZ-0236</t>
  </si>
  <si>
    <t>MZ-0237</t>
  </si>
  <si>
    <t>MZ-0247</t>
  </si>
  <si>
    <t>MZ-0245</t>
  </si>
  <si>
    <t>MZ-0246</t>
  </si>
  <si>
    <t>MZ-0249</t>
  </si>
  <si>
    <t>MZ-0248</t>
  </si>
  <si>
    <t>MZ-0243</t>
  </si>
  <si>
    <t>MZ-0244</t>
  </si>
  <si>
    <t>MZ-0253</t>
  </si>
  <si>
    <t>MZ-0254</t>
  </si>
  <si>
    <t>MZ-0256</t>
  </si>
  <si>
    <t>MZ-0250</t>
  </si>
  <si>
    <t>PRJ-019 MIZAN ulushi</t>
  </si>
  <si>
    <t>MZ-0255</t>
  </si>
  <si>
    <t>MZ-0251</t>
  </si>
  <si>
    <t>MZ-0252</t>
  </si>
  <si>
    <t>MZ-0259</t>
  </si>
  <si>
    <t>MZ-0260</t>
  </si>
  <si>
    <t>MZ-0262</t>
  </si>
  <si>
    <t>MZ-0261</t>
  </si>
  <si>
    <t>MZ-0257</t>
  </si>
  <si>
    <t>MZ-0258</t>
  </si>
  <si>
    <t>MZ-0265</t>
  </si>
  <si>
    <t>MZ-0266</t>
  </si>
  <si>
    <t>MZ-0268</t>
  </si>
  <si>
    <t>MZ-0267</t>
  </si>
  <si>
    <t>MZ-0269</t>
  </si>
  <si>
    <t>MZ-0263</t>
  </si>
  <si>
    <t>MZ-0264</t>
  </si>
  <si>
    <t>MZ-0273</t>
  </si>
  <si>
    <t>MZ-0274</t>
  </si>
  <si>
    <t>MZ-0276</t>
  </si>
  <si>
    <t>MZ-0270</t>
  </si>
  <si>
    <t>PRJ-020 MIZAN ulushi</t>
  </si>
  <si>
    <t>MZ-0275</t>
  </si>
  <si>
    <t>MZ-0271</t>
  </si>
  <si>
    <t>MZ-0272</t>
  </si>
  <si>
    <t>MZ-0279</t>
  </si>
  <si>
    <t>MZ-0280</t>
  </si>
  <si>
    <t>MZ-0282</t>
  </si>
  <si>
    <t>MZ-0281</t>
  </si>
  <si>
    <t>MZ-0277</t>
  </si>
  <si>
    <t>MZ-0278</t>
  </si>
  <si>
    <t>SOZLAMALAR / SETTINGS</t>
  </si>
  <si>
    <t>KURS TARIXI</t>
  </si>
  <si>
    <t>ASOSIY SOZLAMALAR</t>
  </si>
  <si>
    <t>Kursni qo'shib boring!</t>
  </si>
  <si>
    <t>Dollar kursi (1 USD)</t>
  </si>
  <si>
    <t>UZS</t>
  </si>
  <si>
    <t>⚠️ Kursni o'zgartiring — barcha listlar avtomatik yangilanadi!</t>
  </si>
  <si>
    <t>Sana</t>
  </si>
  <si>
    <t>Kurs (UZS/USD)</t>
  </si>
  <si>
    <t>Toshkent vaqti</t>
  </si>
  <si>
    <t>Oylik ish kunlari</t>
  </si>
  <si>
    <t>kun</t>
  </si>
  <si>
    <t>Kunlik ish soatlari</t>
  </si>
  <si>
    <t>soat</t>
  </si>
  <si>
    <t>Oylik ish soatlari</t>
  </si>
  <si>
    <t>Risk koeffitsiyenti (default)</t>
  </si>
  <si>
    <t>Ishlab chiqarish xodimlari soni</t>
  </si>
  <si>
    <t>kishi</t>
  </si>
  <si>
    <t>Jami xodimlar soni</t>
  </si>
  <si>
    <t>BO'LIMLAR</t>
  </si>
  <si>
    <t>Kod</t>
  </si>
  <si>
    <t>Turi</t>
  </si>
  <si>
    <t>🏗️ Master Planning</t>
  </si>
  <si>
    <t>MP</t>
  </si>
  <si>
    <t>Ishlab chiqarish</t>
  </si>
  <si>
    <t>📐 Arxitektura</t>
  </si>
  <si>
    <t>ARX</t>
  </si>
  <si>
    <t>🎨 3D Vizualizatsiya</t>
  </si>
  <si>
    <t>3D</t>
  </si>
  <si>
    <t>🛋️ Interior Design</t>
  </si>
  <si>
    <t>INT</t>
  </si>
  <si>
    <t>🖼️ Graphic Design</t>
  </si>
  <si>
    <t>GD</t>
  </si>
  <si>
    <t>💰 Smeta</t>
  </si>
  <si>
    <t>SM</t>
  </si>
  <si>
    <t>🔧 Konstruktor</t>
  </si>
  <si>
    <t>KON</t>
  </si>
  <si>
    <t>🏢 Ma'muriyat</t>
  </si>
  <si>
    <t>ADM</t>
  </si>
  <si>
    <t>Ma'muriyat (overhead)</t>
  </si>
  <si>
    <t>KATEGORIYALAR</t>
  </si>
  <si>
    <t>TO'LOV TURLARI</t>
  </si>
  <si>
    <t>OUT</t>
  </si>
  <si>
    <t>MAT</t>
  </si>
  <si>
    <t>TRN</t>
  </si>
  <si>
    <t>Ish haqi</t>
  </si>
  <si>
    <t>ISH</t>
  </si>
  <si>
    <t>Valyuta hisobi</t>
  </si>
  <si>
    <t>Ijara</t>
  </si>
  <si>
    <t>IJA</t>
  </si>
  <si>
    <t>Kommunal</t>
  </si>
  <si>
    <t>KOM</t>
  </si>
  <si>
    <t>Ovqat</t>
  </si>
  <si>
    <t>OVQ</t>
  </si>
  <si>
    <t>STATUSLAR</t>
  </si>
  <si>
    <t>Dasturlar/Software</t>
  </si>
  <si>
    <t>DST</t>
  </si>
  <si>
    <t>Texnika/Jihozlar</t>
  </si>
  <si>
    <t>TEX</t>
  </si>
  <si>
    <t>SOL</t>
  </si>
  <si>
    <t>Kechikkan</t>
  </si>
  <si>
    <t>MAL</t>
  </si>
  <si>
    <t>Bekor qilingan</t>
  </si>
  <si>
    <t>Marketing</t>
  </si>
  <si>
    <t>MRK</t>
  </si>
  <si>
    <t>Premiya</t>
  </si>
  <si>
    <t>PRM</t>
  </si>
  <si>
    <t>Boshqa</t>
  </si>
  <si>
    <t>BSH</t>
  </si>
  <si>
    <t>Proekt xarajati</t>
  </si>
  <si>
    <t>PRX</t>
  </si>
  <si>
    <t>MZN</t>
  </si>
  <si>
    <t>XODIMLAR VA 1 SOAT NARXI</t>
  </si>
  <si>
    <t>F.I.Sh.</t>
  </si>
  <si>
    <t>Lavozimi</t>
  </si>
  <si>
    <t>Bo'lim</t>
  </si>
  <si>
    <t>Asosiy maosh</t>
  </si>
  <si>
    <t>Soliq (12%)</t>
  </si>
  <si>
    <t>JSSM (12%)</t>
  </si>
  <si>
    <t>Jami shaxsiy</t>
  </si>
  <si>
    <t>Ma'muriyat
ulushi</t>
  </si>
  <si>
    <t>Texnika
ulushi</t>
  </si>
  <si>
    <t>Overhead
ulushi</t>
  </si>
  <si>
    <t>Jami soatlik
xarajat</t>
  </si>
  <si>
    <t>1 soat narxi
(to'liq)</t>
  </si>
  <si>
    <t>Oylik ish
soatlari</t>
  </si>
  <si>
    <t>1 soat narxi
(USD)</t>
  </si>
  <si>
    <t>Oylik to'liq
(USD)</t>
  </si>
  <si>
    <t>🏗️ MASTER PLANNING</t>
  </si>
  <si>
    <t>Bo'lim boshlig'i</t>
  </si>
  <si>
    <t>Master Planning</t>
  </si>
  <si>
    <t>Master planner</t>
  </si>
  <si>
    <t>📐 ARXITEKTURA</t>
  </si>
  <si>
    <t>Bosh arxitektor</t>
  </si>
  <si>
    <t>Arxitektura</t>
  </si>
  <si>
    <t>Katta arxitektor</t>
  </si>
  <si>
    <t>Arxitektor</t>
  </si>
  <si>
    <t>Ismoilov Farhod</t>
  </si>
  <si>
    <t>🎨 3D VIZUALIZATSIYA</t>
  </si>
  <si>
    <t>Abdullayev Otabek</t>
  </si>
  <si>
    <t>3D Lead</t>
  </si>
  <si>
    <t>3D Vizualizatsiya</t>
  </si>
  <si>
    <t>Qosimova Nodira</t>
  </si>
  <si>
    <t>3D Artist</t>
  </si>
  <si>
    <t>🛋️ INTERIOR DESIGN</t>
  </si>
  <si>
    <t>Interior boshlig'i</t>
  </si>
  <si>
    <t>Interior Design</t>
  </si>
  <si>
    <t>Ergasheva Shahlo</t>
  </si>
  <si>
    <t>Interior dizayner</t>
  </si>
  <si>
    <t>🖼️ GRAPHIC DESIGN</t>
  </si>
  <si>
    <t>Mirzayeva Gulnora</t>
  </si>
  <si>
    <t>Graphic Lead</t>
  </si>
  <si>
    <t>Graphic Design</t>
  </si>
  <si>
    <t>Xudoyberdiyev Jasur</t>
  </si>
  <si>
    <t>Graphic dizayner</t>
  </si>
  <si>
    <t>💰 SMETA</t>
  </si>
  <si>
    <t>Hasanov Timur</t>
  </si>
  <si>
    <t>Smetachi</t>
  </si>
  <si>
    <t>Smeta</t>
  </si>
  <si>
    <t>🔧 KONSTRUKTOR</t>
  </si>
  <si>
    <t>BIM/Konstruktor lead</t>
  </si>
  <si>
    <t>Konstruktor</t>
  </si>
  <si>
    <t>Tursunov Sherzod</t>
  </si>
  <si>
    <t>🏢 MA'MURIYAT</t>
  </si>
  <si>
    <t>Yusupov Akbar</t>
  </si>
  <si>
    <t>Direktor</t>
  </si>
  <si>
    <t>Ma'muriyat</t>
  </si>
  <si>
    <t>-</t>
  </si>
  <si>
    <t>Buxgalter</t>
  </si>
  <si>
    <t>Finansist</t>
  </si>
  <si>
    <t>Ofis menejer</t>
  </si>
  <si>
    <t>HR manager</t>
  </si>
  <si>
    <t>Salimov Nodir</t>
  </si>
  <si>
    <t>Yurist</t>
  </si>
  <si>
    <t>Tojiboyev Anvar</t>
  </si>
  <si>
    <t>Farrosh/Texnik</t>
  </si>
  <si>
    <t>JAMI MA'MURIYAT XARAJATI</t>
  </si>
  <si>
    <t>JAMI BARCHA XODIMLAR</t>
  </si>
  <si>
    <t>O'rtacha 1 soat narxi (ishlab chiqarish)</t>
  </si>
  <si>
    <t>TEXNIKA AMORTIZATSIYASI VA OVERHEAD</t>
  </si>
  <si>
    <t>TEXNIKA AMORTIZATSIYASI</t>
  </si>
  <si>
    <t>Jihoz nomi</t>
  </si>
  <si>
    <t>Umumiy narxi (UZS)</t>
  </si>
  <si>
    <t>Muddat (oy)</t>
  </si>
  <si>
    <t>Oylik amort.</t>
  </si>
  <si>
    <t>Soatlik amort.</t>
  </si>
  <si>
    <t>Oylik amort.
(USD)</t>
  </si>
  <si>
    <t>Dell Precision 7780 (x5)</t>
  </si>
  <si>
    <t>MacBook Pro 16 (x3)</t>
  </si>
  <si>
    <t>HP DesignJet Plotter</t>
  </si>
  <si>
    <t>Monitor 4K 32" (x10)</t>
  </si>
  <si>
    <t>3D Printer Creality</t>
  </si>
  <si>
    <t>Server Dell PowerEdge</t>
  </si>
  <si>
    <t>Skaner A0 format</t>
  </si>
  <si>
    <t>Proyektor Epson</t>
  </si>
  <si>
    <t>Mebellar (stol, stul)</t>
  </si>
  <si>
    <t>UPS / Stabilizator (x5)</t>
  </si>
  <si>
    <t>JAMI TEXNIKA</t>
  </si>
  <si>
    <t>OYLIK OVERHEAD XARAJATLAR</t>
  </si>
  <si>
    <t>Xarajat turi</t>
  </si>
  <si>
    <t>Oylik summa (UZS)</t>
  </si>
  <si>
    <t>Soatlik summa</t>
  </si>
  <si>
    <t>Oylik (USD)</t>
  </si>
  <si>
    <t>Internet va telefon</t>
  </si>
  <si>
    <t>Elektr energiya</t>
  </si>
  <si>
    <t>Ofis yigim-terim</t>
  </si>
  <si>
    <t>Marketing va reklama</t>
  </si>
  <si>
    <t>Buxgalteriya xizmati</t>
  </si>
  <si>
    <t>Yuridik xizmatlar</t>
  </si>
  <si>
    <t>Tamirlash va texnik xizmat</t>
  </si>
  <si>
    <t>Boshqa overhead</t>
  </si>
  <si>
    <t>JAMI OVERHEAD</t>
  </si>
  <si>
    <t>PROEKT VAQT HISOBI VA MIZAN ULUSHI</t>
  </si>
  <si>
    <t>Proekt nomi</t>
  </si>
  <si>
    <t>Risk
koeff.</t>
  </si>
  <si>
    <t>Rahimov
(Master)</t>
  </si>
  <si>
    <t>Azimov
(Master)</t>
  </si>
  <si>
    <t>Aliyev
(Arxite)</t>
  </si>
  <si>
    <t>Karimov
(Arxite)</t>
  </si>
  <si>
    <t>Toshmato
(Arxite)</t>
  </si>
  <si>
    <t>Ismoilov
(Arxite)</t>
  </si>
  <si>
    <t>Abdullay
(3D Viz)</t>
  </si>
  <si>
    <t>Qosimova
(3D Viz)</t>
  </si>
  <si>
    <t>Nurmatov
(Interi)</t>
  </si>
  <si>
    <t>Ergashev
(Interi)</t>
  </si>
  <si>
    <t>Mirzayev
(Graphi)</t>
  </si>
  <si>
    <t>Xudoyber
(Graphi)</t>
  </si>
  <si>
    <t>Hasanov
(Smeta)</t>
  </si>
  <si>
    <t>Xolmatov
(Konstr)</t>
  </si>
  <si>
    <t>Tursunov
(Konstr)</t>
  </si>
  <si>
    <t>Jami
soat</t>
  </si>
  <si>
    <t>MIZAN ulushi
(UZS)</t>
  </si>
  <si>
    <t>MIZAN ulushi
(USD)</t>
  </si>
  <si>
    <t>JAMI</t>
  </si>
  <si>
    <t>PROEKT BYUDJET — PLAN vs FAKT (MIZAN + OUTSOURCING)</t>
  </si>
  <si>
    <t>Taxminiy byudjet va haqiqiy xarajatlarni taqqoslash | Summalar UZS da</t>
  </si>
  <si>
    <t>📋 PLAN (TAXMINIY BYUDJET)</t>
  </si>
  <si>
    <t>📊 FAKT (HAQIQIY XARAJAT)</t>
  </si>
  <si>
    <t>⚖️ FARQ (PLAN - FAKT)</t>
  </si>
  <si>
    <t>№</t>
  </si>
  <si>
    <t>Plan
ishchilar</t>
  </si>
  <si>
    <t>Plan
soatlar</t>
  </si>
  <si>
    <t>Plan MIZAN
(UZS)</t>
  </si>
  <si>
    <t>Plan MIZAN
(USD)</t>
  </si>
  <si>
    <t>Plan
outsourcing</t>
  </si>
  <si>
    <t>Plan jami
xarajat</t>
  </si>
  <si>
    <t>Fakt
ishchilar</t>
  </si>
  <si>
    <t>Fakt
soatlar</t>
  </si>
  <si>
    <t>Fakt MIZAN
(UZS)</t>
  </si>
  <si>
    <t>Fakt MIZAN
(USD)</t>
  </si>
  <si>
    <t>Fakt
outsourcing</t>
  </si>
  <si>
    <t>Fakt jami
xarajat</t>
  </si>
  <si>
    <t>Farq
ishchilar</t>
  </si>
  <si>
    <t>Farq
soatlar</t>
  </si>
  <si>
    <t>Farq MIZAN
(UZS)</t>
  </si>
  <si>
    <t>Farq
outsourcing</t>
  </si>
  <si>
    <t>Farq jami
(UZS)</t>
  </si>
  <si>
    <t>Farq
(%)</t>
  </si>
  <si>
    <t>Byudjet
holati</t>
  </si>
  <si>
    <t>Izoh</t>
  </si>
  <si>
    <t>XULOSA</t>
  </si>
  <si>
    <t>Plan MIZAN xarajati (UZS):</t>
  </si>
  <si>
    <t>Plan outsourcing (UZS):</t>
  </si>
  <si>
    <t>Plan JAMI byudjet (UZS):</t>
  </si>
  <si>
    <t>Fakt MIZAN xarajati (UZS):</t>
  </si>
  <si>
    <t>Fakt outsourcing (UZS):</t>
  </si>
  <si>
    <t>Fakt JAMI xarajat (UZS):</t>
  </si>
  <si>
    <t>Tejaldi / Ortiqcha (UZS):</t>
  </si>
  <si>
    <t>Tejaldi / Ortiqcha (%):</t>
  </si>
  <si>
    <t>Byudjet ichida proektlar:</t>
  </si>
  <si>
    <t>Byudjetdan oshgan proektlar:</t>
  </si>
  <si>
    <t>IZOHLAR:</t>
  </si>
  <si>
    <t>📋 PLAN ustunlari (ko'k) — qo'lda kiritiladi: ishchilar soni, soatlar, outsourcing byudjeti</t>
  </si>
  <si>
    <t>📊 FAKT ustunlari (yashil) — avtomatik: MIZAN='Proekt vaqt va Risk', Outsourcing='Tushum va Harajatlar'</t>
  </si>
  <si>
    <t>⚖️ FARQ = Plan minus Fakt | Musbat = tejaldi, Manfiy = oshdi</t>
  </si>
  <si>
    <t>Plan jami = MIZAN xarajati + Outsourcing byudjeti</t>
  </si>
  <si>
    <t>✅ &gt;10% tejaldi | ⚠️ ±5% chegarada | ❌ &gt;5% oshgan</t>
  </si>
  <si>
    <t>💲 DOLLAR EKVIVALENTI (USD)</t>
  </si>
  <si>
    <t>Plan MIZAN (USD):</t>
  </si>
  <si>
    <t>Plan outsourcing (USD):</t>
  </si>
  <si>
    <t>Plan JAMI (USD):</t>
  </si>
  <si>
    <t>Fakt MIZAN (USD):</t>
  </si>
  <si>
    <t>Fakt outsourcing (USD):</t>
  </si>
  <si>
    <t>Fakt JAMI (USD):</t>
  </si>
  <si>
    <t>Tejaldi / Ortiqcha (USD):</t>
  </si>
  <si>
    <t>MOLIYAVIY BOSHQARUV PANELI</t>
  </si>
  <si>
    <t>DAVR FILTRI:</t>
  </si>
  <si>
    <t>Boshlanish</t>
  </si>
  <si>
    <t>Tugash</t>
  </si>
  <si>
    <t>UMUMIY KO'RSATKICHLAR</t>
  </si>
  <si>
    <t>Ko'rsatkich</t>
  </si>
  <si>
    <t>💲 USD</t>
  </si>
  <si>
    <t>Jami tushum (UZS)</t>
  </si>
  <si>
    <t>Jami harajat - proekt (UZS)</t>
  </si>
  <si>
    <t>MIZAN tushum (UZS)</t>
  </si>
  <si>
    <t>MIZAN harajat (UZS)</t>
  </si>
  <si>
    <t>MIZAN soff foyda</t>
  </si>
  <si>
    <t>Umumiy soff foyda</t>
  </si>
  <si>
    <t>Rentabellik (%)</t>
  </si>
  <si>
    <t>BO'LIMLAR KESIMIDA KO'RSATKICHLAR</t>
  </si>
  <si>
    <t>Xodimlar soni</t>
  </si>
  <si>
    <t>O'rt. soat narxi</t>
  </si>
  <si>
    <t>Jami soatlar</t>
  </si>
  <si>
    <t>Jami qiymat (UZS)</t>
  </si>
  <si>
    <t>Jami (USD)</t>
  </si>
  <si>
    <t>Ulush (%)</t>
  </si>
  <si>
    <t>TOP 5 ENG FOYDALI PROEKTLAR</t>
  </si>
  <si>
    <t>Proekt</t>
  </si>
  <si>
    <t>Tushum (UZS)</t>
  </si>
  <si>
    <t>MIZAN xarajat</t>
  </si>
  <si>
    <t>Foyda</t>
  </si>
  <si>
    <t>Foyda (USD)</t>
  </si>
  <si>
    <t>XODIMLAR KPI DASHBOARD</t>
  </si>
  <si>
    <t>Proektlar
soni</t>
  </si>
  <si>
    <t>Jami
soatlar</t>
  </si>
  <si>
    <t>O'rtacha
soat/proekt</t>
  </si>
  <si>
    <t>1 soat
narxi</t>
  </si>
  <si>
    <t>Umumiy
qiymat</t>
  </si>
  <si>
    <t>Samaradorlik
(%)</t>
  </si>
  <si>
    <t>Reyting</t>
  </si>
  <si>
    <t>Bo'lim KPI mezoni</t>
  </si>
  <si>
    <t>1 soat
(USD)</t>
  </si>
  <si>
    <t>Qiymat
(USD)</t>
  </si>
  <si>
    <t>Tahlil sifati, landshaft loyiha topshirish muddati</t>
  </si>
  <si>
    <t>Chizmalar soni va sifati, mualliflik nazorat samaradorligi</t>
  </si>
  <si>
    <t>Renderlar soni, sifati va tezligi</t>
  </si>
  <si>
    <t>Dizayn yechimlari, material tanlash samaradorligi</t>
  </si>
  <si>
    <t>Album, brandbook sifati va ijod darajasi</t>
  </si>
  <si>
    <t>Smeta aniqligi (plan vs fakt farqi &lt;5%)</t>
  </si>
  <si>
    <t>Konstruktiv hisob aniqligi, muddat</t>
  </si>
  <si>
    <t>BO'LIM KPI MEZONLARI</t>
  </si>
  <si>
    <t>Tahlil sifati (5 ball) | Topshirish muddati (kunlarda) | Landshaft loyiha aniqligi</t>
  </si>
  <si>
    <t>Chizmalar soni (plan/fasad/qirqim) | Xatolar soni (&lt;3) | Nazorat samaradorligi (%)</t>
  </si>
  <si>
    <t>Renderlar soni (oy) | Render sifati (5 ball) | O'rtacha render vaqti (soat)</t>
  </si>
  <si>
    <t>Dizayn variantlari soni | Material aniqligi (%) | Mijoz qoniqishi (5 ball)</t>
  </si>
  <si>
    <t>Album/brandbook soni | Post-production tezligi | Ijodiy ball (5 ball)</t>
  </si>
  <si>
    <t>Smeta aniqligi (plan vs fakt &lt;5%) | Topshirish muddati | Xatolar (&lt;2%)</t>
  </si>
  <si>
    <t>Hisob aniqligi (%) | Muddat bajarilishi | Xavfsizlik koeffitsiyenti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</si>
</sst>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5" formatCode="mm/dd/yy\ hh:mm\ AM/PM"/>
    <numFmt numFmtId="166" formatCode="0.0%"/>
    <numFmt numFmtId="167" formatCode="yyyy\-mm\-dd\ h:mm:ss"/>
  </numFmts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Century Gothic"/>
      <family val="1"/>
    </font>
    <font>
      <sz val="10"/>
      <color rgb="FF4A3728"/>
      <name val="Century Gothic"/>
      <family val="1"/>
    </font>
    <font>
      <sz val="10"/>
      <color rgb="FF2D6A4F"/>
      <name val="Century Gothic"/>
      <family val="1"/>
    </font>
    <font>
      <sz val="10"/>
      <color rgb="FF2E5090"/>
      <name val="Century Gothic"/>
      <family val="1"/>
    </font>
    <font>
      <b/>
      <sz val="10"/>
      <color rgb="FF4A3728"/>
      <name val="Century Gothic"/>
      <family val="1"/>
    </font>
    <font>
      <b/>
      <sz val="10"/>
      <color rgb="FF9B2D30"/>
      <name val="Century Gothic"/>
      <family val="1"/>
    </font>
    <font>
      <b/>
      <sz val="16"/>
      <color rgb="FF4A3728"/>
      <name val="Century Gothic"/>
      <family val="1"/>
    </font>
    <font>
      <b/>
      <sz val="12"/>
      <color rgb="FF4A3728"/>
      <name val="Century Gothic"/>
      <family val="1"/>
    </font>
    <font>
      <b/>
      <sz val="9"/>
      <color rgb="FF9B2D30"/>
      <name val="Century Gothic"/>
      <family val="1"/>
    </font>
  </fonts>
  <fills count="10">
    <fill>
      <patternFill patternType="none"/>
    </fill>
    <fill>
      <patternFill patternType="gray125"/>
    </fill>
    <fill>
      <patternFill patternType="solid">
        <fgColor rgb="FF8B7355"/>
        <bgColor rgb="FF808000"/>
      </patternFill>
    </fill>
    <fill>
      <patternFill patternType="solid">
        <fgColor rgb="FFFEFCFA"/>
        <bgColor rgb="FFFFFFFF"/>
      </patternFill>
    </fill>
    <fill>
      <patternFill patternType="solid">
        <fgColor rgb="FFF0EDE8"/>
        <bgColor rgb="FFF5F0EB"/>
      </patternFill>
    </fill>
    <fill>
      <patternFill patternType="solid">
        <fgColor rgb="FFDDD0E6"/>
        <bgColor rgb="FFD5E8D4"/>
      </patternFill>
    </fill>
    <fill>
      <patternFill patternType="solid">
        <fgColor rgb="FFF5EDDC"/>
        <bgColor rgb="FFF0EDE8"/>
      </patternFill>
    </fill>
    <fill>
      <patternFill patternType="solid">
        <fgColor rgb="FFF5F0EB"/>
        <bgColor rgb="FFF0EDE8"/>
      </patternFill>
    </fill>
    <fill>
      <patternFill patternType="solid">
        <fgColor rgb="FFD5E8D4"/>
        <bgColor rgb="FFF0EDE8"/>
      </patternFill>
    </fill>
    <fill>
      <patternFill patternType="solid">
        <fgColor rgb="FF2D6A4F"/>
        <bgColor rgb="FF2E5090"/>
      </patternFill>
    </fill>
  </fills>
  <borders count="3">
    <border>
      <left/>
      <right/>
      <top/>
      <bottom/>
      <diagonal/>
    </border>
    <border>
      <left style="thin">
        <color rgb="FFC5B8A8"/>
      </left>
      <right style="thin">
        <color rgb="FFC5B8A8"/>
      </right>
      <top style="thin">
        <color rgb="FFC5B8A8"/>
      </top>
      <bottom style="thin">
        <color rgb="FFC5B8A8"/>
      </bottom>
      <diagonal/>
    </border>
    <border>
      <left style="thin">
        <color rgb="FFC5B8A8"/>
      </left>
      <right/>
      <top style="thin">
        <color rgb="FFC5B8A8"/>
      </top>
      <bottom style="thin">
        <color rgb="FFC5B8A8"/>
      </bottom>
      <diagonal/>
    </border>
  </borders>
  <cellStyleXfs count="1">
    <xf numFmtId="0" fontId="0" fillId="0" borderId="0"/>
  </cellStyleXfs>
  <cellXfs count="78">
    <xf numFmtId="0" fontId="0" fillId="0" borderId="0" xfId="0"/>
    <xf numFmtId="1" fontId="5" fillId="3" borderId="1" xfId="0" applyNumberFormat="1" applyFont="1" applyFill="1" applyBorder="1"/>
    <xf numFmtId="1" fontId="5" fillId="4" borderId="1" xfId="0" applyNumberFormat="1" applyFont="1" applyFill="1" applyBorder="1"/>
    <xf numFmtId="166" fontId="5" fillId="3" borderId="1" xfId="0" applyNumberFormat="1" applyFont="1" applyFill="1" applyBorder="1"/>
    <xf numFmtId="3" fontId="5" fillId="3" borderId="1" xfId="0" applyNumberFormat="1" applyFont="1" applyFill="1" applyBorder="1"/>
    <xf numFmtId="3" fontId="5" fillId="4" borderId="1" xfId="0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/>
    <xf numFmtId="0" fontId="2" fillId="4" borderId="1" xfId="0" applyFont="1" applyFill="1" applyBorder="1"/>
    <xf numFmtId="0" fontId="7" fillId="7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3" borderId="0" xfId="0" applyFont="1" applyFill="1"/>
    <xf numFmtId="3" fontId="3" fillId="3" borderId="1" xfId="0" applyNumberFormat="1" applyFont="1" applyFill="1" applyBorder="1"/>
    <xf numFmtId="3" fontId="4" fillId="3" borderId="1" xfId="0" applyNumberFormat="1" applyFont="1" applyFill="1" applyBorder="1"/>
    <xf numFmtId="3" fontId="5" fillId="3" borderId="1" xfId="0" applyNumberFormat="1" applyFont="1" applyFill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2" fillId="4" borderId="0" xfId="0" applyFont="1" applyFill="1"/>
    <xf numFmtId="3" fontId="3" fillId="4" borderId="1" xfId="0" applyNumberFormat="1" applyFont="1" applyFill="1" applyBorder="1"/>
    <xf numFmtId="3" fontId="4" fillId="4" borderId="1" xfId="0" applyNumberFormat="1" applyFont="1" applyFill="1" applyBorder="1"/>
    <xf numFmtId="3" fontId="5" fillId="4" borderId="1" xfId="0" applyNumberFormat="1" applyFont="1" applyFill="1" applyBorder="1"/>
    <xf numFmtId="0" fontId="2" fillId="5" borderId="1" xfId="0" applyFont="1" applyFill="1" applyBorder="1"/>
    <xf numFmtId="164" fontId="2" fillId="5" borderId="1" xfId="0" applyNumberFormat="1" applyFont="1" applyFill="1" applyBorder="1"/>
    <xf numFmtId="0" fontId="2" fillId="5" borderId="0" xfId="0" applyFont="1" applyFill="1"/>
    <xf numFmtId="0" fontId="3" fillId="5" borderId="0" xfId="0" applyFont="1" applyFill="1"/>
    <xf numFmtId="0" fontId="4" fillId="5" borderId="0" xfId="0" applyFont="1" applyFill="1"/>
    <xf numFmtId="3" fontId="3" fillId="5" borderId="1" xfId="0" applyNumberFormat="1" applyFont="1" applyFill="1" applyBorder="1"/>
    <xf numFmtId="3" fontId="4" fillId="5" borderId="1" xfId="0" applyNumberFormat="1" applyFont="1" applyFill="1" applyBorder="1"/>
    <xf numFmtId="3" fontId="5" fillId="5" borderId="1" xfId="0" applyNumberFormat="1" applyFont="1" applyFill="1" applyBorder="1"/>
    <xf numFmtId="0" fontId="2" fillId="6" borderId="1" xfId="0" applyFont="1" applyFill="1" applyBorder="1"/>
    <xf numFmtId="164" fontId="2" fillId="6" borderId="1" xfId="0" applyNumberFormat="1" applyFont="1" applyFill="1" applyBorder="1"/>
    <xf numFmtId="0" fontId="2" fillId="6" borderId="0" xfId="0" applyFont="1" applyFill="1"/>
    <xf numFmtId="0" fontId="3" fillId="6" borderId="0" xfId="0" applyFont="1" applyFill="1"/>
    <xf numFmtId="0" fontId="4" fillId="6" borderId="0" xfId="0" applyFont="1" applyFill="1"/>
    <xf numFmtId="3" fontId="3" fillId="6" borderId="1" xfId="0" applyNumberFormat="1" applyFont="1" applyFill="1" applyBorder="1"/>
    <xf numFmtId="3" fontId="6" fillId="6" borderId="1" xfId="0" applyNumberFormat="1" applyFont="1" applyFill="1" applyBorder="1"/>
    <xf numFmtId="0" fontId="2" fillId="0" borderId="0" xfId="0" applyFont="1"/>
    <xf numFmtId="3" fontId="3" fillId="0" borderId="1" xfId="0" applyNumberFormat="1" applyFont="1" applyBorder="1"/>
    <xf numFmtId="0" fontId="4" fillId="0" borderId="0" xfId="0" applyFont="1"/>
    <xf numFmtId="3" fontId="5" fillId="0" borderId="1" xfId="0" applyNumberFormat="1" applyFont="1" applyBorder="1"/>
    <xf numFmtId="3" fontId="2" fillId="3" borderId="1" xfId="0" applyNumberFormat="1" applyFont="1" applyFill="1" applyBorder="1"/>
    <xf numFmtId="3" fontId="2" fillId="4" borderId="1" xfId="0" applyNumberFormat="1" applyFont="1" applyFill="1" applyBorder="1"/>
    <xf numFmtId="3" fontId="0" fillId="0" borderId="1" xfId="0" applyNumberFormat="1" applyBorder="1"/>
    <xf numFmtId="0" fontId="7" fillId="7" borderId="1" xfId="0" applyFont="1" applyFill="1" applyBorder="1"/>
    <xf numFmtId="0" fontId="8" fillId="7" borderId="0" xfId="0" applyFont="1" applyFill="1"/>
    <xf numFmtId="0" fontId="8" fillId="4" borderId="1" xfId="0" applyFont="1" applyFill="1" applyBorder="1"/>
    <xf numFmtId="0" fontId="9" fillId="0" borderId="0" xfId="0" applyFont="1"/>
    <xf numFmtId="0" fontId="4" fillId="3" borderId="1" xfId="0" applyFont="1" applyFill="1" applyBorder="1"/>
    <xf numFmtId="165" fontId="2" fillId="4" borderId="1" xfId="0" applyNumberFormat="1" applyFont="1" applyFill="1" applyBorder="1"/>
    <xf numFmtId="0" fontId="8" fillId="3" borderId="1" xfId="0" applyFont="1" applyFill="1" applyBorder="1"/>
    <xf numFmtId="0" fontId="3" fillId="8" borderId="1" xfId="0" applyFont="1" applyFill="1" applyBorder="1"/>
    <xf numFmtId="1" fontId="3" fillId="3" borderId="1" xfId="0" applyNumberFormat="1" applyFont="1" applyFill="1" applyBorder="1"/>
    <xf numFmtId="3" fontId="3" fillId="8" borderId="1" xfId="0" applyNumberFormat="1" applyFont="1" applyFill="1" applyBorder="1"/>
    <xf numFmtId="3" fontId="5" fillId="8" borderId="1" xfId="0" applyNumberFormat="1" applyFont="1" applyFill="1" applyBorder="1"/>
    <xf numFmtId="1" fontId="3" fillId="4" borderId="1" xfId="0" applyNumberFormat="1" applyFont="1" applyFill="1" applyBorder="1"/>
    <xf numFmtId="2" fontId="2" fillId="4" borderId="1" xfId="0" applyNumberFormat="1" applyFont="1" applyFill="1" applyBorder="1"/>
    <xf numFmtId="1" fontId="2" fillId="4" borderId="1" xfId="0" applyNumberFormat="1" applyFont="1" applyFill="1" applyBorder="1"/>
    <xf numFmtId="1" fontId="5" fillId="4" borderId="1" xfId="0" applyNumberFormat="1" applyFont="1" applyFill="1" applyBorder="1"/>
    <xf numFmtId="2" fontId="2" fillId="3" borderId="1" xfId="0" applyNumberFormat="1" applyFont="1" applyFill="1" applyBorder="1"/>
    <xf numFmtId="1" fontId="2" fillId="3" borderId="1" xfId="0" applyNumberFormat="1" applyFont="1" applyFill="1" applyBorder="1"/>
    <xf numFmtId="1" fontId="5" fillId="3" borderId="1" xfId="0" applyNumberFormat="1" applyFont="1" applyFill="1" applyBorder="1"/>
    <xf numFmtId="0" fontId="2" fillId="4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3" borderId="1" xfId="0" applyFont="1" applyFill="1" applyBorder="1"/>
    <xf numFmtId="166" fontId="5" fillId="3" borderId="1" xfId="0" applyNumberFormat="1" applyFont="1" applyFill="1" applyBorder="1"/>
    <xf numFmtId="0" fontId="3" fillId="4" borderId="1" xfId="0" applyFont="1" applyFill="1" applyBorder="1"/>
    <xf numFmtId="0" fontId="5" fillId="4" borderId="1" xfId="0" applyFont="1" applyFill="1" applyBorder="1"/>
    <xf numFmtId="166" fontId="5" fillId="4" borderId="1" xfId="0" applyNumberFormat="1" applyFont="1" applyFill="1" applyBorder="1"/>
    <xf numFmtId="0" fontId="1" fillId="9" borderId="1" xfId="0" applyFont="1" applyFill="1" applyBorder="1"/>
    <xf numFmtId="0" fontId="2" fillId="8" borderId="1" xfId="0" applyFont="1" applyFill="1" applyBorder="1"/>
    <xf numFmtId="167" fontId="0" fillId="0" borderId="0" xfId="0" applyNumberFormat="1"/>
    <xf numFmtId="166" fontId="5" fillId="8" borderId="1" xfId="0" applyNumberFormat="1" applyFont="1" applyFill="1" applyBorder="1"/>
    <xf numFmtId="166" fontId="3" fillId="3" borderId="1" xfId="0" applyNumberFormat="1" applyFont="1" applyFill="1" applyBorder="1"/>
    <xf numFmtId="166" fontId="3" fillId="4" borderId="1" xfId="0" applyNumberFormat="1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8C5D6"/>
      <rgbColor rgb="FF8B7355"/>
      <rgbColor rgb="FF9999FF"/>
      <rgbColor rgb="FF993366"/>
      <rgbColor rgb="FFFEFCFA"/>
      <rgbColor rgb="FFF0EDE8"/>
      <rgbColor rgb="FF660066"/>
      <rgbColor rgb="FFFF8080"/>
      <rgbColor rgb="FF0066CC"/>
      <rgbColor rgb="FFDDD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0EB"/>
      <rgbColor rgb="FFD5E8D4"/>
      <rgbColor rgb="FFF5EDDC"/>
      <rgbColor rgb="FFA8C5B8"/>
      <rgbColor rgb="FFD4A89A"/>
      <rgbColor rgb="FFCC99FF"/>
      <rgbColor rgb="FFC5B8A8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B2D30"/>
      <rgbColor rgb="FF993366"/>
      <rgbColor rgb="FF2E5090"/>
      <rgbColor rgb="FF4A372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8C5B8"/>
  </sheetPr>
  <dimension ref="A2:U304"/>
  <sheetViews>
    <sheetView tabSelected="1" topLeftCell="A175" zoomScaleNormal="100" workbookViewId="0"/>
  </sheetViews>
  <sheetFormatPr baseColWidth="10" defaultColWidth="8.6640625" defaultRowHeight="15" x14ac:dyDescent="0.2"/>
  <cols>
    <col min="1" max="1" width="5" customWidth="1"/>
    <col min="2" max="2" width="10" customWidth="1"/>
    <col min="3" max="3" width="12" customWidth="1"/>
    <col min="4" max="4" width="22" customWidth="1"/>
    <col min="5" max="5" width="26" customWidth="1"/>
    <col min="6" max="6" width="28" customWidth="1"/>
    <col min="7" max="7" width="18" customWidth="1"/>
    <col min="8" max="8" width="16" customWidth="1"/>
    <col min="9" max="9" width="18" customWidth="1"/>
    <col min="10" max="10" width="12" customWidth="1"/>
    <col min="11" max="11" width="14" customWidth="1"/>
    <col min="12" max="12" width="16" customWidth="1"/>
    <col min="13" max="13" width="14" customWidth="1"/>
    <col min="14" max="14" width="16" customWidth="1"/>
    <col min="15" max="15" width="14" customWidth="1"/>
    <col min="16" max="16" width="16" customWidth="1"/>
    <col min="17" max="17" width="14" customWidth="1"/>
    <col min="18" max="20" width="12" customWidth="1"/>
    <col min="21" max="21" width="20" customWidth="1"/>
  </cols>
  <sheetData>
    <row r="2" spans="1:21" ht="28" x14ac:dyDescent="0.2">
      <c r="A2" s="12" t="s">
        <v>0</v>
      </c>
      <c r="B2" s="12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</row>
    <row r="3" spans="1:21" x14ac:dyDescent="0.2">
      <c r="A3" s="13">
        <v>1</v>
      </c>
      <c r="B3" s="13" t="s">
        <v>21</v>
      </c>
      <c r="C3" s="14">
        <v>44750</v>
      </c>
      <c r="D3" s="13" t="s">
        <v>22</v>
      </c>
      <c r="E3" s="13" t="s">
        <v>23</v>
      </c>
      <c r="F3" s="15"/>
      <c r="G3" s="13" t="s">
        <v>24</v>
      </c>
      <c r="H3" s="13" t="s">
        <v>25</v>
      </c>
      <c r="I3" s="13" t="s">
        <v>26</v>
      </c>
      <c r="J3" s="13" t="s">
        <v>27</v>
      </c>
      <c r="K3" s="16">
        <f>IF(L3=0,0,L3/LOOKUP(C3,Settings!$F$5:$F$20,Settings!$G$5:$G$20))</f>
        <v>78341.013824884794</v>
      </c>
      <c r="L3" s="17">
        <v>850000000</v>
      </c>
      <c r="M3" s="16">
        <f>IF(N3=0,0,N3/LOOKUP(C3,Settings!$F$5:$F$20,Settings!$G$5:$G$20))</f>
        <v>31336.405529953918</v>
      </c>
      <c r="N3" s="17">
        <v>340000000</v>
      </c>
      <c r="O3" s="18">
        <f t="shared" ref="O3:O66" si="0">K3-M3</f>
        <v>47004.608294930877</v>
      </c>
      <c r="P3" s="18">
        <f t="shared" ref="P3:P66" si="1">L3-N3</f>
        <v>510000000</v>
      </c>
      <c r="Q3" s="13" t="s">
        <v>28</v>
      </c>
      <c r="R3" s="13" t="s">
        <v>29</v>
      </c>
      <c r="S3" s="14">
        <v>44780</v>
      </c>
      <c r="T3" s="13" t="s">
        <v>30</v>
      </c>
      <c r="U3" s="13" t="s">
        <v>31</v>
      </c>
    </row>
    <row r="4" spans="1:21" x14ac:dyDescent="0.2">
      <c r="A4" s="19">
        <v>2</v>
      </c>
      <c r="B4" s="19" t="s">
        <v>32</v>
      </c>
      <c r="C4" s="20">
        <v>44786</v>
      </c>
      <c r="D4" s="19" t="s">
        <v>33</v>
      </c>
      <c r="E4" s="19" t="s">
        <v>34</v>
      </c>
      <c r="F4" s="21"/>
      <c r="G4" s="19" t="s">
        <v>35</v>
      </c>
      <c r="H4" s="19" t="s">
        <v>36</v>
      </c>
      <c r="I4" s="19" t="s">
        <v>37</v>
      </c>
      <c r="J4" s="19" t="s">
        <v>38</v>
      </c>
      <c r="K4" s="22">
        <f>IF(L4=0,0,L4/LOOKUP(C4,Settings!$F$5:$F$20,Settings!$G$5:$G$20))</f>
        <v>110599.07834101382</v>
      </c>
      <c r="L4" s="23">
        <v>1200000000</v>
      </c>
      <c r="M4" s="22">
        <f>IF(N4=0,0,N4/LOOKUP(C4,Settings!$F$5:$F$20,Settings!$G$5:$G$20))</f>
        <v>44239.631336405531</v>
      </c>
      <c r="N4" s="23">
        <v>480000000</v>
      </c>
      <c r="O4" s="24">
        <f t="shared" si="0"/>
        <v>66359.447004608286</v>
      </c>
      <c r="P4" s="24">
        <f t="shared" si="1"/>
        <v>720000000</v>
      </c>
      <c r="Q4" s="19" t="s">
        <v>28</v>
      </c>
      <c r="R4" s="19" t="s">
        <v>29</v>
      </c>
      <c r="S4" s="20">
        <v>44816</v>
      </c>
      <c r="T4" s="19" t="s">
        <v>30</v>
      </c>
      <c r="U4" s="19" t="s">
        <v>31</v>
      </c>
    </row>
    <row r="5" spans="1:21" x14ac:dyDescent="0.2">
      <c r="A5" s="13">
        <v>3</v>
      </c>
      <c r="B5" s="13" t="s">
        <v>21</v>
      </c>
      <c r="C5" s="14">
        <v>44796</v>
      </c>
      <c r="D5" s="13" t="s">
        <v>22</v>
      </c>
      <c r="E5" s="13" t="s">
        <v>39</v>
      </c>
      <c r="F5" s="15"/>
      <c r="G5" s="13" t="s">
        <v>24</v>
      </c>
      <c r="H5" s="13" t="s">
        <v>25</v>
      </c>
      <c r="I5" s="13" t="s">
        <v>26</v>
      </c>
      <c r="J5" s="13" t="s">
        <v>27</v>
      </c>
      <c r="K5" s="16">
        <f>IF(L5=0,0,L5/LOOKUP(C5,Settings!$F$5:$F$20,Settings!$G$5:$G$20))</f>
        <v>78341.013824884794</v>
      </c>
      <c r="L5" s="17">
        <v>850000000</v>
      </c>
      <c r="M5" s="16">
        <f>IF(N5=0,0,N5/LOOKUP(C5,Settings!$F$5:$F$20,Settings!$G$5:$G$20))</f>
        <v>23502.304147465438</v>
      </c>
      <c r="N5" s="17">
        <v>255000000</v>
      </c>
      <c r="O5" s="18">
        <f t="shared" si="0"/>
        <v>54838.709677419356</v>
      </c>
      <c r="P5" s="18">
        <f t="shared" si="1"/>
        <v>595000000</v>
      </c>
      <c r="Q5" s="13" t="s">
        <v>28</v>
      </c>
      <c r="R5" s="13" t="s">
        <v>29</v>
      </c>
      <c r="S5" s="14">
        <v>44811</v>
      </c>
      <c r="T5" s="13" t="s">
        <v>30</v>
      </c>
      <c r="U5" s="13" t="s">
        <v>40</v>
      </c>
    </row>
    <row r="6" spans="1:21" x14ac:dyDescent="0.2">
      <c r="A6" s="19">
        <v>4</v>
      </c>
      <c r="B6" s="19" t="s">
        <v>41</v>
      </c>
      <c r="C6" s="20">
        <v>44843</v>
      </c>
      <c r="D6" s="19" t="s">
        <v>42</v>
      </c>
      <c r="E6" s="19" t="s">
        <v>43</v>
      </c>
      <c r="F6" s="21"/>
      <c r="G6" s="19" t="s">
        <v>44</v>
      </c>
      <c r="H6" s="19" t="s">
        <v>45</v>
      </c>
      <c r="I6" s="19" t="s">
        <v>46</v>
      </c>
      <c r="J6" s="19" t="s">
        <v>47</v>
      </c>
      <c r="K6" s="22">
        <f>IF(L6=0,0,L6/LOOKUP(C6,Settings!$F$5:$F$20,Settings!$G$5:$G$20))</f>
        <v>58823.529411764706</v>
      </c>
      <c r="L6" s="23">
        <v>650000000</v>
      </c>
      <c r="M6" s="22">
        <f>IF(N6=0,0,N6/LOOKUP(C6,Settings!$F$5:$F$20,Settings!$G$5:$G$20))</f>
        <v>23529.411764705881</v>
      </c>
      <c r="N6" s="23">
        <v>260000000</v>
      </c>
      <c r="O6" s="24">
        <f t="shared" si="0"/>
        <v>35294.117647058825</v>
      </c>
      <c r="P6" s="24">
        <f t="shared" si="1"/>
        <v>390000000</v>
      </c>
      <c r="Q6" s="19" t="s">
        <v>28</v>
      </c>
      <c r="R6" s="19" t="s">
        <v>29</v>
      </c>
      <c r="S6" s="20">
        <v>44873</v>
      </c>
      <c r="T6" s="19" t="s">
        <v>30</v>
      </c>
      <c r="U6" s="19" t="s">
        <v>31</v>
      </c>
    </row>
    <row r="7" spans="1:21" x14ac:dyDescent="0.2">
      <c r="A7" s="13">
        <v>5</v>
      </c>
      <c r="B7" s="13" t="s">
        <v>32</v>
      </c>
      <c r="C7" s="14">
        <v>44846</v>
      </c>
      <c r="D7" s="13" t="s">
        <v>33</v>
      </c>
      <c r="E7" s="13" t="s">
        <v>48</v>
      </c>
      <c r="F7" s="15"/>
      <c r="G7" s="13" t="s">
        <v>35</v>
      </c>
      <c r="H7" s="13" t="s">
        <v>36</v>
      </c>
      <c r="I7" s="13" t="s">
        <v>37</v>
      </c>
      <c r="J7" s="13" t="s">
        <v>38</v>
      </c>
      <c r="K7" s="16">
        <f>IF(L7=0,0,L7/LOOKUP(C7,Settings!$F$5:$F$20,Settings!$G$5:$G$20))</f>
        <v>108597.28506787331</v>
      </c>
      <c r="L7" s="17">
        <v>1200000000</v>
      </c>
      <c r="M7" s="16">
        <f>IF(N7=0,0,N7/LOOKUP(C7,Settings!$F$5:$F$20,Settings!$G$5:$G$20))</f>
        <v>32579.185520361993</v>
      </c>
      <c r="N7" s="17">
        <v>360000000</v>
      </c>
      <c r="O7" s="18">
        <f t="shared" si="0"/>
        <v>76018.099547511316</v>
      </c>
      <c r="P7" s="18">
        <f t="shared" si="1"/>
        <v>840000000</v>
      </c>
      <c r="Q7" s="13" t="s">
        <v>28</v>
      </c>
      <c r="R7" s="13" t="s">
        <v>29</v>
      </c>
      <c r="S7" s="14">
        <v>44861</v>
      </c>
      <c r="T7" s="13" t="s">
        <v>30</v>
      </c>
      <c r="U7" s="13" t="s">
        <v>40</v>
      </c>
    </row>
    <row r="8" spans="1:21" x14ac:dyDescent="0.2">
      <c r="A8" s="19">
        <v>6</v>
      </c>
      <c r="B8" s="19" t="s">
        <v>41</v>
      </c>
      <c r="C8" s="20">
        <v>44894</v>
      </c>
      <c r="D8" s="19" t="s">
        <v>42</v>
      </c>
      <c r="E8" s="19" t="s">
        <v>49</v>
      </c>
      <c r="F8" s="21"/>
      <c r="G8" s="19" t="s">
        <v>44</v>
      </c>
      <c r="H8" s="19" t="s">
        <v>45</v>
      </c>
      <c r="I8" s="19" t="s">
        <v>46</v>
      </c>
      <c r="J8" s="19" t="s">
        <v>47</v>
      </c>
      <c r="K8" s="22">
        <f>IF(L8=0,0,L8/LOOKUP(C8,Settings!$F$5:$F$20,Settings!$G$5:$G$20))</f>
        <v>58823.529411764706</v>
      </c>
      <c r="L8" s="23">
        <v>650000000</v>
      </c>
      <c r="M8" s="22">
        <f>IF(N8=0,0,N8/LOOKUP(C8,Settings!$F$5:$F$20,Settings!$G$5:$G$20))</f>
        <v>17647.058823529413</v>
      </c>
      <c r="N8" s="23">
        <v>195000000</v>
      </c>
      <c r="O8" s="24">
        <f t="shared" si="0"/>
        <v>41176.470588235294</v>
      </c>
      <c r="P8" s="24">
        <f t="shared" si="1"/>
        <v>455000000</v>
      </c>
      <c r="Q8" s="19" t="s">
        <v>28</v>
      </c>
      <c r="R8" s="19" t="s">
        <v>29</v>
      </c>
      <c r="S8" s="20">
        <v>44909</v>
      </c>
      <c r="T8" s="19" t="s">
        <v>30</v>
      </c>
      <c r="U8" s="19" t="s">
        <v>40</v>
      </c>
    </row>
    <row r="9" spans="1:21" x14ac:dyDescent="0.2">
      <c r="A9" s="13">
        <v>7</v>
      </c>
      <c r="B9" s="13" t="s">
        <v>50</v>
      </c>
      <c r="C9" s="14">
        <v>44902</v>
      </c>
      <c r="D9" s="13" t="s">
        <v>51</v>
      </c>
      <c r="E9" s="13" t="s">
        <v>52</v>
      </c>
      <c r="F9" s="15"/>
      <c r="G9" s="13" t="s">
        <v>53</v>
      </c>
      <c r="H9" s="13" t="s">
        <v>25</v>
      </c>
      <c r="I9" s="13" t="s">
        <v>54</v>
      </c>
      <c r="J9" s="13" t="s">
        <v>55</v>
      </c>
      <c r="K9" s="16">
        <f>IF(L9=0,0,L9/LOOKUP(C9,Settings!$F$5:$F$20,Settings!$G$5:$G$20))</f>
        <v>38009.049773755658</v>
      </c>
      <c r="L9" s="17">
        <v>420000000</v>
      </c>
      <c r="M9" s="16">
        <f>IF(N9=0,0,N9/LOOKUP(C9,Settings!$F$5:$F$20,Settings!$G$5:$G$20))</f>
        <v>15203.619909502262</v>
      </c>
      <c r="N9" s="17">
        <v>168000000</v>
      </c>
      <c r="O9" s="18">
        <f t="shared" si="0"/>
        <v>22805.429864253398</v>
      </c>
      <c r="P9" s="18">
        <f t="shared" si="1"/>
        <v>252000000</v>
      </c>
      <c r="Q9" s="13" t="s">
        <v>28</v>
      </c>
      <c r="R9" s="13" t="s">
        <v>29</v>
      </c>
      <c r="S9" s="14">
        <v>44932</v>
      </c>
      <c r="T9" s="13" t="s">
        <v>30</v>
      </c>
      <c r="U9" s="13" t="s">
        <v>31</v>
      </c>
    </row>
    <row r="10" spans="1:21" x14ac:dyDescent="0.2">
      <c r="A10" s="19">
        <v>8</v>
      </c>
      <c r="B10" s="19" t="s">
        <v>21</v>
      </c>
      <c r="C10" s="20">
        <v>44903</v>
      </c>
      <c r="D10" s="19" t="s">
        <v>22</v>
      </c>
      <c r="E10" s="19" t="s">
        <v>56</v>
      </c>
      <c r="F10" s="21"/>
      <c r="G10" s="19" t="s">
        <v>24</v>
      </c>
      <c r="H10" s="19" t="s">
        <v>25</v>
      </c>
      <c r="I10" s="19" t="s">
        <v>26</v>
      </c>
      <c r="J10" s="19" t="s">
        <v>27</v>
      </c>
      <c r="K10" s="22">
        <f>IF(L10=0,0,L10/LOOKUP(C10,Settings!$F$5:$F$20,Settings!$G$5:$G$20))</f>
        <v>76923.076923076922</v>
      </c>
      <c r="L10" s="23">
        <v>850000000</v>
      </c>
      <c r="M10" s="22">
        <f>IF(N10=0,0,N10/LOOKUP(C10,Settings!$F$5:$F$20,Settings!$G$5:$G$20))</f>
        <v>23076.923076923078</v>
      </c>
      <c r="N10" s="23">
        <v>255000000</v>
      </c>
      <c r="O10" s="24">
        <f t="shared" si="0"/>
        <v>53846.153846153844</v>
      </c>
      <c r="P10" s="24">
        <f t="shared" si="1"/>
        <v>595000000</v>
      </c>
      <c r="Q10" s="19" t="s">
        <v>28</v>
      </c>
      <c r="R10" s="19" t="s">
        <v>29</v>
      </c>
      <c r="S10" s="20">
        <v>44933</v>
      </c>
      <c r="T10" s="19" t="s">
        <v>30</v>
      </c>
      <c r="U10" s="19" t="s">
        <v>57</v>
      </c>
    </row>
    <row r="11" spans="1:21" x14ac:dyDescent="0.2">
      <c r="A11" s="13">
        <v>9</v>
      </c>
      <c r="B11" s="13" t="s">
        <v>32</v>
      </c>
      <c r="C11" s="14">
        <v>44920</v>
      </c>
      <c r="D11" s="13" t="s">
        <v>33</v>
      </c>
      <c r="E11" s="13" t="s">
        <v>58</v>
      </c>
      <c r="F11" s="15"/>
      <c r="G11" s="13" t="s">
        <v>35</v>
      </c>
      <c r="H11" s="13" t="s">
        <v>36</v>
      </c>
      <c r="I11" s="13" t="s">
        <v>37</v>
      </c>
      <c r="J11" s="13" t="s">
        <v>38</v>
      </c>
      <c r="K11" s="16">
        <f>IF(L11=0,0,L11/LOOKUP(C11,Settings!$F$5:$F$20,Settings!$G$5:$G$20))</f>
        <v>108597.28506787331</v>
      </c>
      <c r="L11" s="17">
        <v>1200000000</v>
      </c>
      <c r="M11" s="16">
        <f>IF(N11=0,0,N11/LOOKUP(C11,Settings!$F$5:$F$20,Settings!$G$5:$G$20))</f>
        <v>32579.185520361993</v>
      </c>
      <c r="N11" s="17">
        <v>360000000</v>
      </c>
      <c r="O11" s="18">
        <f t="shared" si="0"/>
        <v>76018.099547511316</v>
      </c>
      <c r="P11" s="18">
        <f t="shared" si="1"/>
        <v>840000000</v>
      </c>
      <c r="Q11" s="13" t="s">
        <v>28</v>
      </c>
      <c r="R11" s="13" t="s">
        <v>29</v>
      </c>
      <c r="S11" s="14">
        <v>44950</v>
      </c>
      <c r="T11" s="13" t="s">
        <v>30</v>
      </c>
      <c r="U11" s="13" t="s">
        <v>57</v>
      </c>
    </row>
    <row r="12" spans="1:21" x14ac:dyDescent="0.2">
      <c r="A12" s="19">
        <v>10</v>
      </c>
      <c r="B12" s="19" t="s">
        <v>59</v>
      </c>
      <c r="C12" s="20">
        <v>44963</v>
      </c>
      <c r="D12" s="19" t="s">
        <v>60</v>
      </c>
      <c r="E12" s="19" t="s">
        <v>61</v>
      </c>
      <c r="F12" s="21"/>
      <c r="G12" s="19" t="s">
        <v>62</v>
      </c>
      <c r="H12" s="19" t="s">
        <v>36</v>
      </c>
      <c r="I12" s="19" t="s">
        <v>63</v>
      </c>
      <c r="J12" s="19" t="s">
        <v>64</v>
      </c>
      <c r="K12" s="22">
        <f>IF(L12=0,0,L12/LOOKUP(C12,Settings!$F$5:$F$20,Settings!$G$5:$G$20))</f>
        <v>33928.571428571428</v>
      </c>
      <c r="L12" s="23">
        <v>380000000</v>
      </c>
      <c r="M12" s="22">
        <f>IF(N12=0,0,N12/LOOKUP(C12,Settings!$F$5:$F$20,Settings!$G$5:$G$20))</f>
        <v>13571.428571428571</v>
      </c>
      <c r="N12" s="23">
        <v>152000000</v>
      </c>
      <c r="O12" s="24">
        <f t="shared" si="0"/>
        <v>20357.142857142855</v>
      </c>
      <c r="P12" s="24">
        <f t="shared" si="1"/>
        <v>228000000</v>
      </c>
      <c r="Q12" s="19" t="s">
        <v>28</v>
      </c>
      <c r="R12" s="19" t="s">
        <v>29</v>
      </c>
      <c r="S12" s="20">
        <v>44993</v>
      </c>
      <c r="T12" s="19" t="s">
        <v>30</v>
      </c>
      <c r="U12" s="19" t="s">
        <v>31</v>
      </c>
    </row>
    <row r="13" spans="1:21" x14ac:dyDescent="0.2">
      <c r="A13" s="13">
        <v>11</v>
      </c>
      <c r="B13" s="13" t="s">
        <v>50</v>
      </c>
      <c r="C13" s="14">
        <v>44984</v>
      </c>
      <c r="D13" s="13" t="s">
        <v>51</v>
      </c>
      <c r="E13" s="13" t="s">
        <v>65</v>
      </c>
      <c r="F13" s="15"/>
      <c r="G13" s="13" t="s">
        <v>53</v>
      </c>
      <c r="H13" s="13" t="s">
        <v>25</v>
      </c>
      <c r="I13" s="13" t="s">
        <v>54</v>
      </c>
      <c r="J13" s="13" t="s">
        <v>55</v>
      </c>
      <c r="K13" s="16">
        <f>IF(L13=0,0,L13/LOOKUP(C13,Settings!$F$5:$F$20,Settings!$G$5:$G$20))</f>
        <v>37500</v>
      </c>
      <c r="L13" s="17">
        <v>420000000</v>
      </c>
      <c r="M13" s="16">
        <f>IF(N13=0,0,N13/LOOKUP(C13,Settings!$F$5:$F$20,Settings!$G$5:$G$20))</f>
        <v>11250</v>
      </c>
      <c r="N13" s="17">
        <v>126000000</v>
      </c>
      <c r="O13" s="18">
        <f t="shared" si="0"/>
        <v>26250</v>
      </c>
      <c r="P13" s="18">
        <f t="shared" si="1"/>
        <v>294000000</v>
      </c>
      <c r="Q13" s="13" t="s">
        <v>28</v>
      </c>
      <c r="R13" s="13" t="s">
        <v>29</v>
      </c>
      <c r="S13" s="14">
        <v>44999</v>
      </c>
      <c r="T13" s="13" t="s">
        <v>30</v>
      </c>
      <c r="U13" s="13" t="s">
        <v>40</v>
      </c>
    </row>
    <row r="14" spans="1:21" x14ac:dyDescent="0.2">
      <c r="A14" s="19">
        <v>12</v>
      </c>
      <c r="B14" s="19" t="s">
        <v>41</v>
      </c>
      <c r="C14" s="20">
        <v>44997</v>
      </c>
      <c r="D14" s="19" t="s">
        <v>42</v>
      </c>
      <c r="E14" s="19" t="s">
        <v>66</v>
      </c>
      <c r="F14" s="21"/>
      <c r="G14" s="19" t="s">
        <v>44</v>
      </c>
      <c r="H14" s="19" t="s">
        <v>45</v>
      </c>
      <c r="I14" s="19" t="s">
        <v>46</v>
      </c>
      <c r="J14" s="19" t="s">
        <v>47</v>
      </c>
      <c r="K14" s="22">
        <f>IF(L14=0,0,L14/LOOKUP(C14,Settings!$F$5:$F$20,Settings!$G$5:$G$20))</f>
        <v>58035.714285714283</v>
      </c>
      <c r="L14" s="23">
        <v>650000000</v>
      </c>
      <c r="M14" s="22">
        <f>IF(N14=0,0,N14/LOOKUP(C14,Settings!$F$5:$F$20,Settings!$G$5:$G$20))</f>
        <v>17410.714285714286</v>
      </c>
      <c r="N14" s="23">
        <v>195000000</v>
      </c>
      <c r="O14" s="24">
        <f t="shared" si="0"/>
        <v>40625</v>
      </c>
      <c r="P14" s="24">
        <f t="shared" si="1"/>
        <v>455000000</v>
      </c>
      <c r="Q14" s="19" t="s">
        <v>28</v>
      </c>
      <c r="R14" s="19" t="s">
        <v>29</v>
      </c>
      <c r="S14" s="20">
        <v>45027</v>
      </c>
      <c r="T14" s="19" t="s">
        <v>30</v>
      </c>
      <c r="U14" s="19" t="s">
        <v>57</v>
      </c>
    </row>
    <row r="15" spans="1:21" x14ac:dyDescent="0.2">
      <c r="A15" s="13">
        <v>13</v>
      </c>
      <c r="B15" s="13" t="s">
        <v>59</v>
      </c>
      <c r="C15" s="14">
        <v>45009</v>
      </c>
      <c r="D15" s="13" t="s">
        <v>60</v>
      </c>
      <c r="E15" s="13" t="s">
        <v>67</v>
      </c>
      <c r="F15" s="15"/>
      <c r="G15" s="13" t="s">
        <v>62</v>
      </c>
      <c r="H15" s="13" t="s">
        <v>36</v>
      </c>
      <c r="I15" s="13" t="s">
        <v>63</v>
      </c>
      <c r="J15" s="13" t="s">
        <v>64</v>
      </c>
      <c r="K15" s="16">
        <f>IF(L15=0,0,L15/LOOKUP(C15,Settings!$F$5:$F$20,Settings!$G$5:$G$20))</f>
        <v>33928.571428571428</v>
      </c>
      <c r="L15" s="17">
        <v>380000000</v>
      </c>
      <c r="M15" s="16">
        <f>IF(N15=0,0,N15/LOOKUP(C15,Settings!$F$5:$F$20,Settings!$G$5:$G$20))</f>
        <v>10178.571428571429</v>
      </c>
      <c r="N15" s="17">
        <v>114000000</v>
      </c>
      <c r="O15" s="18">
        <f t="shared" si="0"/>
        <v>23750</v>
      </c>
      <c r="P15" s="18">
        <f t="shared" si="1"/>
        <v>266000000</v>
      </c>
      <c r="Q15" s="13" t="s">
        <v>28</v>
      </c>
      <c r="R15" s="13" t="s">
        <v>29</v>
      </c>
      <c r="S15" s="14">
        <v>45024</v>
      </c>
      <c r="T15" s="13" t="s">
        <v>30</v>
      </c>
      <c r="U15" s="13" t="s">
        <v>40</v>
      </c>
    </row>
    <row r="16" spans="1:21" x14ac:dyDescent="0.2">
      <c r="A16" s="19">
        <v>14</v>
      </c>
      <c r="B16" s="19" t="s">
        <v>68</v>
      </c>
      <c r="C16" s="20">
        <v>45027</v>
      </c>
      <c r="D16" s="19" t="s">
        <v>69</v>
      </c>
      <c r="E16" s="19" t="s">
        <v>70</v>
      </c>
      <c r="F16" s="21"/>
      <c r="G16" s="19" t="s">
        <v>71</v>
      </c>
      <c r="H16" s="19" t="s">
        <v>72</v>
      </c>
      <c r="I16" s="19" t="s">
        <v>73</v>
      </c>
      <c r="J16" s="19" t="s">
        <v>74</v>
      </c>
      <c r="K16" s="22">
        <f>IF(L16=0,0,L16/LOOKUP(C16,Settings!$F$5:$F$20,Settings!$G$5:$G$20))</f>
        <v>83700.440528634368</v>
      </c>
      <c r="L16" s="23">
        <v>950000000</v>
      </c>
      <c r="M16" s="22">
        <f>IF(N16=0,0,N16/LOOKUP(C16,Settings!$F$5:$F$20,Settings!$G$5:$G$20))</f>
        <v>33480.176211453741</v>
      </c>
      <c r="N16" s="23">
        <v>380000000</v>
      </c>
      <c r="O16" s="24">
        <f t="shared" si="0"/>
        <v>50220.264317180627</v>
      </c>
      <c r="P16" s="24">
        <f t="shared" si="1"/>
        <v>570000000</v>
      </c>
      <c r="Q16" s="19" t="s">
        <v>28</v>
      </c>
      <c r="R16" s="19" t="s">
        <v>29</v>
      </c>
      <c r="S16" s="20">
        <v>45057</v>
      </c>
      <c r="T16" s="19" t="s">
        <v>30</v>
      </c>
      <c r="U16" s="19" t="s">
        <v>31</v>
      </c>
    </row>
    <row r="17" spans="1:21" x14ac:dyDescent="0.2">
      <c r="A17" s="13">
        <v>15</v>
      </c>
      <c r="B17" s="13" t="s">
        <v>50</v>
      </c>
      <c r="C17" s="14">
        <v>45071</v>
      </c>
      <c r="D17" s="13" t="s">
        <v>51</v>
      </c>
      <c r="E17" s="13" t="s">
        <v>75</v>
      </c>
      <c r="F17" s="15"/>
      <c r="G17" s="13" t="s">
        <v>53</v>
      </c>
      <c r="H17" s="13" t="s">
        <v>25</v>
      </c>
      <c r="I17" s="13" t="s">
        <v>54</v>
      </c>
      <c r="J17" s="13" t="s">
        <v>55</v>
      </c>
      <c r="K17" s="16">
        <f>IF(L17=0,0,L17/LOOKUP(C17,Settings!$F$5:$F$20,Settings!$G$5:$G$20))</f>
        <v>37004.405286343615</v>
      </c>
      <c r="L17" s="17">
        <v>420000000</v>
      </c>
      <c r="M17" s="16">
        <f>IF(N17=0,0,N17/LOOKUP(C17,Settings!$F$5:$F$20,Settings!$G$5:$G$20))</f>
        <v>11101.321585903084</v>
      </c>
      <c r="N17" s="17">
        <v>126000000</v>
      </c>
      <c r="O17" s="18">
        <f t="shared" si="0"/>
        <v>25903.083700440533</v>
      </c>
      <c r="P17" s="18">
        <f t="shared" si="1"/>
        <v>294000000</v>
      </c>
      <c r="Q17" s="13" t="s">
        <v>28</v>
      </c>
      <c r="R17" s="13" t="s">
        <v>29</v>
      </c>
      <c r="S17" s="14">
        <v>45101</v>
      </c>
      <c r="T17" s="13" t="s">
        <v>30</v>
      </c>
      <c r="U17" s="13" t="s">
        <v>57</v>
      </c>
    </row>
    <row r="18" spans="1:21" x14ac:dyDescent="0.2">
      <c r="A18" s="19">
        <v>16</v>
      </c>
      <c r="B18" s="19" t="s">
        <v>59</v>
      </c>
      <c r="C18" s="20">
        <v>45074</v>
      </c>
      <c r="D18" s="19" t="s">
        <v>60</v>
      </c>
      <c r="E18" s="19" t="s">
        <v>76</v>
      </c>
      <c r="F18" s="21"/>
      <c r="G18" s="19" t="s">
        <v>62</v>
      </c>
      <c r="H18" s="19" t="s">
        <v>36</v>
      </c>
      <c r="I18" s="19" t="s">
        <v>63</v>
      </c>
      <c r="J18" s="19" t="s">
        <v>64</v>
      </c>
      <c r="K18" s="22">
        <f>IF(L18=0,0,L18/LOOKUP(C18,Settings!$F$5:$F$20,Settings!$G$5:$G$20))</f>
        <v>33480.176211453741</v>
      </c>
      <c r="L18" s="23">
        <v>380000000</v>
      </c>
      <c r="M18" s="22">
        <f>IF(N18=0,0,N18/LOOKUP(C18,Settings!$F$5:$F$20,Settings!$G$5:$G$20))</f>
        <v>10044.052863436124</v>
      </c>
      <c r="N18" s="23">
        <v>114000000</v>
      </c>
      <c r="O18" s="24">
        <f t="shared" si="0"/>
        <v>23436.123348017616</v>
      </c>
      <c r="P18" s="24">
        <f t="shared" si="1"/>
        <v>266000000</v>
      </c>
      <c r="Q18" s="19" t="s">
        <v>28</v>
      </c>
      <c r="R18" s="19" t="s">
        <v>29</v>
      </c>
      <c r="S18" s="20">
        <v>45104</v>
      </c>
      <c r="T18" s="19" t="s">
        <v>30</v>
      </c>
      <c r="U18" s="19" t="s">
        <v>57</v>
      </c>
    </row>
    <row r="19" spans="1:21" x14ac:dyDescent="0.2">
      <c r="A19" s="13">
        <v>17</v>
      </c>
      <c r="B19" s="13" t="s">
        <v>77</v>
      </c>
      <c r="C19" s="14">
        <v>45082</v>
      </c>
      <c r="D19" s="13" t="s">
        <v>78</v>
      </c>
      <c r="E19" s="13" t="s">
        <v>79</v>
      </c>
      <c r="F19" s="15"/>
      <c r="G19" s="13" t="s">
        <v>80</v>
      </c>
      <c r="H19" s="13" t="s">
        <v>45</v>
      </c>
      <c r="I19" s="13" t="s">
        <v>81</v>
      </c>
      <c r="J19" s="13" t="s">
        <v>82</v>
      </c>
      <c r="K19" s="16">
        <f>IF(L19=0,0,L19/LOOKUP(C19,Settings!$F$5:$F$20,Settings!$G$5:$G$20))</f>
        <v>132158.59030837004</v>
      </c>
      <c r="L19" s="17">
        <v>1500000000</v>
      </c>
      <c r="M19" s="16">
        <f>IF(N19=0,0,N19/LOOKUP(C19,Settings!$F$5:$F$20,Settings!$G$5:$G$20))</f>
        <v>52863.436123348016</v>
      </c>
      <c r="N19" s="17">
        <v>600000000</v>
      </c>
      <c r="O19" s="18">
        <f t="shared" si="0"/>
        <v>79295.154185022024</v>
      </c>
      <c r="P19" s="18">
        <f t="shared" si="1"/>
        <v>900000000</v>
      </c>
      <c r="Q19" s="13" t="s">
        <v>28</v>
      </c>
      <c r="R19" s="13" t="s">
        <v>29</v>
      </c>
      <c r="S19" s="14">
        <v>45112</v>
      </c>
      <c r="T19" s="13" t="s">
        <v>30</v>
      </c>
      <c r="U19" s="13" t="s">
        <v>31</v>
      </c>
    </row>
    <row r="20" spans="1:21" x14ac:dyDescent="0.2">
      <c r="A20" s="19">
        <v>18</v>
      </c>
      <c r="B20" s="19" t="s">
        <v>68</v>
      </c>
      <c r="C20" s="20">
        <v>45086</v>
      </c>
      <c r="D20" s="19" t="s">
        <v>69</v>
      </c>
      <c r="E20" s="19" t="s">
        <v>83</v>
      </c>
      <c r="F20" s="21"/>
      <c r="G20" s="19" t="s">
        <v>71</v>
      </c>
      <c r="H20" s="19" t="s">
        <v>72</v>
      </c>
      <c r="I20" s="19" t="s">
        <v>73</v>
      </c>
      <c r="J20" s="19" t="s">
        <v>74</v>
      </c>
      <c r="K20" s="22">
        <f>IF(L20=0,0,L20/LOOKUP(C20,Settings!$F$5:$F$20,Settings!$G$5:$G$20))</f>
        <v>83700.440528634368</v>
      </c>
      <c r="L20" s="23">
        <v>950000000</v>
      </c>
      <c r="M20" s="22">
        <f>IF(N20=0,0,N20/LOOKUP(C20,Settings!$F$5:$F$20,Settings!$G$5:$G$20))</f>
        <v>25110.13215859031</v>
      </c>
      <c r="N20" s="23">
        <v>285000000</v>
      </c>
      <c r="O20" s="24">
        <f t="shared" si="0"/>
        <v>58590.308370044062</v>
      </c>
      <c r="P20" s="24">
        <f t="shared" si="1"/>
        <v>665000000</v>
      </c>
      <c r="Q20" s="19" t="s">
        <v>28</v>
      </c>
      <c r="R20" s="19" t="s">
        <v>29</v>
      </c>
      <c r="S20" s="20">
        <v>45101</v>
      </c>
      <c r="T20" s="19" t="s">
        <v>30</v>
      </c>
      <c r="U20" s="19" t="s">
        <v>40</v>
      </c>
    </row>
    <row r="21" spans="1:21" x14ac:dyDescent="0.2">
      <c r="A21" s="13">
        <v>19</v>
      </c>
      <c r="B21" s="13" t="s">
        <v>84</v>
      </c>
      <c r="C21" s="14">
        <v>45156</v>
      </c>
      <c r="D21" s="13" t="s">
        <v>85</v>
      </c>
      <c r="E21" s="13" t="s">
        <v>86</v>
      </c>
      <c r="F21" s="15"/>
      <c r="G21" s="13" t="s">
        <v>87</v>
      </c>
      <c r="H21" s="13" t="s">
        <v>25</v>
      </c>
      <c r="I21" s="13" t="s">
        <v>88</v>
      </c>
      <c r="J21" s="13" t="s">
        <v>89</v>
      </c>
      <c r="K21" s="16">
        <f>IF(L21=0,0,L21/LOOKUP(C21,Settings!$F$5:$F$20,Settings!$G$5:$G$20))</f>
        <v>47826.086956521736</v>
      </c>
      <c r="L21" s="17">
        <v>550000000</v>
      </c>
      <c r="M21" s="16">
        <f>IF(N21=0,0,N21/LOOKUP(C21,Settings!$F$5:$F$20,Settings!$G$5:$G$20))</f>
        <v>19130.434782608696</v>
      </c>
      <c r="N21" s="17">
        <v>220000000</v>
      </c>
      <c r="O21" s="18">
        <f t="shared" si="0"/>
        <v>28695.65217391304</v>
      </c>
      <c r="P21" s="18">
        <f t="shared" si="1"/>
        <v>330000000</v>
      </c>
      <c r="Q21" s="13" t="s">
        <v>28</v>
      </c>
      <c r="R21" s="13" t="s">
        <v>29</v>
      </c>
      <c r="S21" s="14">
        <v>45186</v>
      </c>
      <c r="T21" s="13" t="s">
        <v>30</v>
      </c>
      <c r="U21" s="13" t="s">
        <v>31</v>
      </c>
    </row>
    <row r="22" spans="1:21" x14ac:dyDescent="0.2">
      <c r="A22" s="19">
        <v>20</v>
      </c>
      <c r="B22" s="19" t="s">
        <v>77</v>
      </c>
      <c r="C22" s="20">
        <v>45162</v>
      </c>
      <c r="D22" s="19" t="s">
        <v>78</v>
      </c>
      <c r="E22" s="19" t="s">
        <v>90</v>
      </c>
      <c r="F22" s="21"/>
      <c r="G22" s="19" t="s">
        <v>80</v>
      </c>
      <c r="H22" s="19" t="s">
        <v>45</v>
      </c>
      <c r="I22" s="19" t="s">
        <v>81</v>
      </c>
      <c r="J22" s="19" t="s">
        <v>82</v>
      </c>
      <c r="K22" s="22">
        <f>IF(L22=0,0,L22/LOOKUP(C22,Settings!$F$5:$F$20,Settings!$G$5:$G$20))</f>
        <v>130434.78260869565</v>
      </c>
      <c r="L22" s="23">
        <v>1500000000</v>
      </c>
      <c r="M22" s="22">
        <f>IF(N22=0,0,N22/LOOKUP(C22,Settings!$F$5:$F$20,Settings!$G$5:$G$20))</f>
        <v>39130.434782608696</v>
      </c>
      <c r="N22" s="23">
        <v>450000000</v>
      </c>
      <c r="O22" s="24">
        <f t="shared" si="0"/>
        <v>91304.347826086945</v>
      </c>
      <c r="P22" s="24">
        <f t="shared" si="1"/>
        <v>1050000000</v>
      </c>
      <c r="Q22" s="19" t="s">
        <v>28</v>
      </c>
      <c r="R22" s="19" t="s">
        <v>29</v>
      </c>
      <c r="S22" s="20">
        <v>45177</v>
      </c>
      <c r="T22" s="19" t="s">
        <v>30</v>
      </c>
      <c r="U22" s="19" t="s">
        <v>40</v>
      </c>
    </row>
    <row r="23" spans="1:21" x14ac:dyDescent="0.2">
      <c r="A23" s="13">
        <v>21</v>
      </c>
      <c r="B23" s="13" t="s">
        <v>68</v>
      </c>
      <c r="C23" s="14">
        <v>45178</v>
      </c>
      <c r="D23" s="13" t="s">
        <v>69</v>
      </c>
      <c r="E23" s="13" t="s">
        <v>91</v>
      </c>
      <c r="F23" s="15"/>
      <c r="G23" s="13" t="s">
        <v>71</v>
      </c>
      <c r="H23" s="13" t="s">
        <v>72</v>
      </c>
      <c r="I23" s="13" t="s">
        <v>73</v>
      </c>
      <c r="J23" s="13" t="s">
        <v>74</v>
      </c>
      <c r="K23" s="16">
        <f>IF(L23=0,0,L23/LOOKUP(C23,Settings!$F$5:$F$20,Settings!$G$5:$G$20))</f>
        <v>82608.695652173919</v>
      </c>
      <c r="L23" s="17">
        <v>950000000</v>
      </c>
      <c r="M23" s="16">
        <f>IF(N23=0,0,N23/LOOKUP(C23,Settings!$F$5:$F$20,Settings!$G$5:$G$20))</f>
        <v>24782.608695652172</v>
      </c>
      <c r="N23" s="17">
        <v>285000000</v>
      </c>
      <c r="O23" s="18">
        <f t="shared" si="0"/>
        <v>57826.086956521744</v>
      </c>
      <c r="P23" s="18">
        <f t="shared" si="1"/>
        <v>665000000</v>
      </c>
      <c r="Q23" s="13" t="s">
        <v>28</v>
      </c>
      <c r="R23" s="13" t="s">
        <v>29</v>
      </c>
      <c r="S23" s="14">
        <v>45208</v>
      </c>
      <c r="T23" s="13" t="s">
        <v>30</v>
      </c>
      <c r="U23" s="13" t="s">
        <v>57</v>
      </c>
    </row>
    <row r="24" spans="1:21" x14ac:dyDescent="0.2">
      <c r="A24" s="19">
        <v>22</v>
      </c>
      <c r="B24" s="19" t="s">
        <v>92</v>
      </c>
      <c r="C24" s="20">
        <v>45212</v>
      </c>
      <c r="D24" s="19" t="s">
        <v>93</v>
      </c>
      <c r="E24" s="19" t="s">
        <v>94</v>
      </c>
      <c r="F24" s="21"/>
      <c r="G24" s="19" t="s">
        <v>95</v>
      </c>
      <c r="H24" s="19" t="s">
        <v>72</v>
      </c>
      <c r="I24" s="19" t="s">
        <v>96</v>
      </c>
      <c r="J24" s="19" t="s">
        <v>97</v>
      </c>
      <c r="K24" s="22">
        <f>IF(L24=0,0,L24/LOOKUP(C24,Settings!$F$5:$F$20,Settings!$G$5:$G$20))</f>
        <v>41025.641025641024</v>
      </c>
      <c r="L24" s="23">
        <v>480000000</v>
      </c>
      <c r="M24" s="22">
        <f>IF(N24=0,0,N24/LOOKUP(C24,Settings!$F$5:$F$20,Settings!$G$5:$G$20))</f>
        <v>16410.25641025641</v>
      </c>
      <c r="N24" s="23">
        <v>192000000</v>
      </c>
      <c r="O24" s="24">
        <f t="shared" si="0"/>
        <v>24615.384615384613</v>
      </c>
      <c r="P24" s="24">
        <f t="shared" si="1"/>
        <v>288000000</v>
      </c>
      <c r="Q24" s="19" t="s">
        <v>28</v>
      </c>
      <c r="R24" s="19" t="s">
        <v>29</v>
      </c>
      <c r="S24" s="20">
        <v>45242</v>
      </c>
      <c r="T24" s="19" t="s">
        <v>30</v>
      </c>
      <c r="U24" s="19" t="s">
        <v>31</v>
      </c>
    </row>
    <row r="25" spans="1:21" x14ac:dyDescent="0.2">
      <c r="A25" s="13">
        <v>23</v>
      </c>
      <c r="B25" s="13" t="s">
        <v>84</v>
      </c>
      <c r="C25" s="14">
        <v>45215</v>
      </c>
      <c r="D25" s="13" t="s">
        <v>85</v>
      </c>
      <c r="E25" s="13" t="s">
        <v>98</v>
      </c>
      <c r="F25" s="15"/>
      <c r="G25" s="13" t="s">
        <v>87</v>
      </c>
      <c r="H25" s="13" t="s">
        <v>25</v>
      </c>
      <c r="I25" s="13" t="s">
        <v>88</v>
      </c>
      <c r="J25" s="13" t="s">
        <v>89</v>
      </c>
      <c r="K25" s="16">
        <f>IF(L25=0,0,L25/LOOKUP(C25,Settings!$F$5:$F$20,Settings!$G$5:$G$20))</f>
        <v>47008.547008547008</v>
      </c>
      <c r="L25" s="17">
        <v>550000000</v>
      </c>
      <c r="M25" s="16">
        <f>IF(N25=0,0,N25/LOOKUP(C25,Settings!$F$5:$F$20,Settings!$G$5:$G$20))</f>
        <v>14102.564102564103</v>
      </c>
      <c r="N25" s="17">
        <v>165000000</v>
      </c>
      <c r="O25" s="18">
        <f t="shared" si="0"/>
        <v>32905.982905982906</v>
      </c>
      <c r="P25" s="18">
        <f t="shared" si="1"/>
        <v>385000000</v>
      </c>
      <c r="Q25" s="13" t="s">
        <v>28</v>
      </c>
      <c r="R25" s="13" t="s">
        <v>29</v>
      </c>
      <c r="S25" s="14">
        <v>45230</v>
      </c>
      <c r="T25" s="13" t="s">
        <v>30</v>
      </c>
      <c r="U25" s="13" t="s">
        <v>40</v>
      </c>
    </row>
    <row r="26" spans="1:21" x14ac:dyDescent="0.2">
      <c r="A26" s="19">
        <v>24</v>
      </c>
      <c r="B26" s="19" t="s">
        <v>77</v>
      </c>
      <c r="C26" s="20">
        <v>45234</v>
      </c>
      <c r="D26" s="19" t="s">
        <v>78</v>
      </c>
      <c r="E26" s="19" t="s">
        <v>99</v>
      </c>
      <c r="F26" s="21"/>
      <c r="G26" s="19" t="s">
        <v>80</v>
      </c>
      <c r="H26" s="19" t="s">
        <v>45</v>
      </c>
      <c r="I26" s="19" t="s">
        <v>81</v>
      </c>
      <c r="J26" s="19" t="s">
        <v>82</v>
      </c>
      <c r="K26" s="22">
        <f>IF(L26=0,0,L26/LOOKUP(C26,Settings!$F$5:$F$20,Settings!$G$5:$G$20))</f>
        <v>128205.1282051282</v>
      </c>
      <c r="L26" s="23">
        <v>1500000000</v>
      </c>
      <c r="M26" s="22">
        <f>IF(N26=0,0,N26/LOOKUP(C26,Settings!$F$5:$F$20,Settings!$G$5:$G$20))</f>
        <v>38461.538461538461</v>
      </c>
      <c r="N26" s="23">
        <v>450000000</v>
      </c>
      <c r="O26" s="24">
        <f t="shared" si="0"/>
        <v>89743.58974358975</v>
      </c>
      <c r="P26" s="24">
        <f t="shared" si="1"/>
        <v>1050000000</v>
      </c>
      <c r="Q26" s="19" t="s">
        <v>28</v>
      </c>
      <c r="R26" s="19" t="s">
        <v>29</v>
      </c>
      <c r="S26" s="20">
        <v>45264</v>
      </c>
      <c r="T26" s="19" t="s">
        <v>30</v>
      </c>
      <c r="U26" s="19" t="s">
        <v>57</v>
      </c>
    </row>
    <row r="27" spans="1:21" x14ac:dyDescent="0.2">
      <c r="A27" s="13">
        <v>25</v>
      </c>
      <c r="B27" s="13" t="s">
        <v>92</v>
      </c>
      <c r="C27" s="14">
        <v>45257</v>
      </c>
      <c r="D27" s="13" t="s">
        <v>93</v>
      </c>
      <c r="E27" s="13" t="s">
        <v>100</v>
      </c>
      <c r="F27" s="15"/>
      <c r="G27" s="13" t="s">
        <v>95</v>
      </c>
      <c r="H27" s="13" t="s">
        <v>72</v>
      </c>
      <c r="I27" s="13" t="s">
        <v>96</v>
      </c>
      <c r="J27" s="13" t="s">
        <v>97</v>
      </c>
      <c r="K27" s="16">
        <f>IF(L27=0,0,L27/LOOKUP(C27,Settings!$F$5:$F$20,Settings!$G$5:$G$20))</f>
        <v>41025.641025641024</v>
      </c>
      <c r="L27" s="17">
        <v>480000000</v>
      </c>
      <c r="M27" s="16">
        <f>IF(N27=0,0,N27/LOOKUP(C27,Settings!$F$5:$F$20,Settings!$G$5:$G$20))</f>
        <v>12307.692307692309</v>
      </c>
      <c r="N27" s="17">
        <v>144000000</v>
      </c>
      <c r="O27" s="18">
        <f t="shared" si="0"/>
        <v>28717.948717948715</v>
      </c>
      <c r="P27" s="18">
        <f t="shared" si="1"/>
        <v>336000000</v>
      </c>
      <c r="Q27" s="13" t="s">
        <v>28</v>
      </c>
      <c r="R27" s="13" t="s">
        <v>29</v>
      </c>
      <c r="S27" s="14">
        <v>45272</v>
      </c>
      <c r="T27" s="13" t="s">
        <v>30</v>
      </c>
      <c r="U27" s="13" t="s">
        <v>40</v>
      </c>
    </row>
    <row r="28" spans="1:21" x14ac:dyDescent="0.2">
      <c r="A28" s="19">
        <v>26</v>
      </c>
      <c r="B28" s="19" t="s">
        <v>101</v>
      </c>
      <c r="C28" s="20">
        <v>45270</v>
      </c>
      <c r="D28" s="19" t="s">
        <v>102</v>
      </c>
      <c r="E28" s="19" t="s">
        <v>103</v>
      </c>
      <c r="F28" s="21"/>
      <c r="G28" s="19" t="s">
        <v>104</v>
      </c>
      <c r="H28" s="19" t="s">
        <v>36</v>
      </c>
      <c r="I28" s="19" t="s">
        <v>105</v>
      </c>
      <c r="J28" s="19" t="s">
        <v>106</v>
      </c>
      <c r="K28" s="22">
        <f>IF(L28=0,0,L28/LOOKUP(C28,Settings!$F$5:$F$20,Settings!$G$5:$G$20))</f>
        <v>61538.461538461539</v>
      </c>
      <c r="L28" s="23">
        <v>720000000</v>
      </c>
      <c r="M28" s="22">
        <f>IF(N28=0,0,N28/LOOKUP(C28,Settings!$F$5:$F$20,Settings!$G$5:$G$20))</f>
        <v>24615.384615384617</v>
      </c>
      <c r="N28" s="23">
        <v>288000000</v>
      </c>
      <c r="O28" s="24">
        <f t="shared" si="0"/>
        <v>36923.076923076922</v>
      </c>
      <c r="P28" s="24">
        <f t="shared" si="1"/>
        <v>432000000</v>
      </c>
      <c r="Q28" s="19" t="s">
        <v>28</v>
      </c>
      <c r="R28" s="19" t="s">
        <v>29</v>
      </c>
      <c r="S28" s="20">
        <v>45300</v>
      </c>
      <c r="T28" s="19" t="s">
        <v>30</v>
      </c>
      <c r="U28" s="19" t="s">
        <v>31</v>
      </c>
    </row>
    <row r="29" spans="1:21" x14ac:dyDescent="0.2">
      <c r="A29" s="13">
        <v>27</v>
      </c>
      <c r="B29" s="13" t="s">
        <v>84</v>
      </c>
      <c r="C29" s="14">
        <v>45303</v>
      </c>
      <c r="D29" s="13" t="s">
        <v>85</v>
      </c>
      <c r="E29" s="13" t="s">
        <v>107</v>
      </c>
      <c r="F29" s="15"/>
      <c r="G29" s="13" t="s">
        <v>87</v>
      </c>
      <c r="H29" s="13" t="s">
        <v>25</v>
      </c>
      <c r="I29" s="13" t="s">
        <v>88</v>
      </c>
      <c r="J29" s="13" t="s">
        <v>89</v>
      </c>
      <c r="K29" s="16">
        <f>IF(L29=0,0,L29/LOOKUP(C29,Settings!$F$5:$F$20,Settings!$G$5:$G$20))</f>
        <v>46218.487394957985</v>
      </c>
      <c r="L29" s="17">
        <v>550000000</v>
      </c>
      <c r="M29" s="16">
        <f>IF(N29=0,0,N29/LOOKUP(C29,Settings!$F$5:$F$20,Settings!$G$5:$G$20))</f>
        <v>13865.546218487394</v>
      </c>
      <c r="N29" s="17">
        <v>165000000</v>
      </c>
      <c r="O29" s="18">
        <f t="shared" si="0"/>
        <v>32352.941176470591</v>
      </c>
      <c r="P29" s="18">
        <f t="shared" si="1"/>
        <v>385000000</v>
      </c>
      <c r="Q29" s="13" t="s">
        <v>28</v>
      </c>
      <c r="R29" s="13" t="s">
        <v>29</v>
      </c>
      <c r="S29" s="14">
        <v>45333</v>
      </c>
      <c r="T29" s="13" t="s">
        <v>30</v>
      </c>
      <c r="U29" s="13" t="s">
        <v>57</v>
      </c>
    </row>
    <row r="30" spans="1:21" x14ac:dyDescent="0.2">
      <c r="A30" s="19">
        <v>28</v>
      </c>
      <c r="B30" s="19" t="s">
        <v>108</v>
      </c>
      <c r="C30" s="20">
        <v>45337</v>
      </c>
      <c r="D30" s="19" t="s">
        <v>109</v>
      </c>
      <c r="E30" s="19" t="s">
        <v>110</v>
      </c>
      <c r="F30" s="21"/>
      <c r="G30" s="19" t="s">
        <v>111</v>
      </c>
      <c r="H30" s="19" t="s">
        <v>45</v>
      </c>
      <c r="I30" s="19" t="s">
        <v>112</v>
      </c>
      <c r="J30" s="19" t="s">
        <v>113</v>
      </c>
      <c r="K30" s="22">
        <f>IF(L30=0,0,L30/LOOKUP(C30,Settings!$F$5:$F$20,Settings!$G$5:$G$20))</f>
        <v>23529.411764705881</v>
      </c>
      <c r="L30" s="23">
        <v>280000000</v>
      </c>
      <c r="M30" s="22">
        <f>IF(N30=0,0,N30/LOOKUP(C30,Settings!$F$5:$F$20,Settings!$G$5:$G$20))</f>
        <v>9411.7647058823532</v>
      </c>
      <c r="N30" s="23">
        <v>112000000</v>
      </c>
      <c r="O30" s="24">
        <f t="shared" si="0"/>
        <v>14117.647058823528</v>
      </c>
      <c r="P30" s="24">
        <f t="shared" si="1"/>
        <v>168000000</v>
      </c>
      <c r="Q30" s="19" t="s">
        <v>28</v>
      </c>
      <c r="R30" s="19" t="s">
        <v>29</v>
      </c>
      <c r="S30" s="20">
        <v>45367</v>
      </c>
      <c r="T30" s="19" t="s">
        <v>30</v>
      </c>
      <c r="U30" s="19" t="s">
        <v>31</v>
      </c>
    </row>
    <row r="31" spans="1:21" x14ac:dyDescent="0.2">
      <c r="A31" s="13">
        <v>29</v>
      </c>
      <c r="B31" s="13" t="s">
        <v>101</v>
      </c>
      <c r="C31" s="14">
        <v>45359</v>
      </c>
      <c r="D31" s="13" t="s">
        <v>102</v>
      </c>
      <c r="E31" s="13" t="s">
        <v>114</v>
      </c>
      <c r="F31" s="15"/>
      <c r="G31" s="13" t="s">
        <v>104</v>
      </c>
      <c r="H31" s="13" t="s">
        <v>36</v>
      </c>
      <c r="I31" s="13" t="s">
        <v>105</v>
      </c>
      <c r="J31" s="13" t="s">
        <v>106</v>
      </c>
      <c r="K31" s="16">
        <f>IF(L31=0,0,L31/LOOKUP(C31,Settings!$F$5:$F$20,Settings!$G$5:$G$20))</f>
        <v>60504.201680672268</v>
      </c>
      <c r="L31" s="17">
        <v>720000000</v>
      </c>
      <c r="M31" s="16">
        <f>IF(N31=0,0,N31/LOOKUP(C31,Settings!$F$5:$F$20,Settings!$G$5:$G$20))</f>
        <v>18151.26050420168</v>
      </c>
      <c r="N31" s="17">
        <v>216000000</v>
      </c>
      <c r="O31" s="18">
        <f t="shared" si="0"/>
        <v>42352.941176470587</v>
      </c>
      <c r="P31" s="18">
        <f t="shared" si="1"/>
        <v>504000000</v>
      </c>
      <c r="Q31" s="13" t="s">
        <v>28</v>
      </c>
      <c r="R31" s="13" t="s">
        <v>29</v>
      </c>
      <c r="S31" s="14">
        <v>45374</v>
      </c>
      <c r="T31" s="13" t="s">
        <v>30</v>
      </c>
      <c r="U31" s="13" t="s">
        <v>40</v>
      </c>
    </row>
    <row r="32" spans="1:21" x14ac:dyDescent="0.2">
      <c r="A32" s="19">
        <v>30</v>
      </c>
      <c r="B32" s="19" t="s">
        <v>92</v>
      </c>
      <c r="C32" s="20">
        <v>45365</v>
      </c>
      <c r="D32" s="19" t="s">
        <v>93</v>
      </c>
      <c r="E32" s="19" t="s">
        <v>115</v>
      </c>
      <c r="F32" s="21"/>
      <c r="G32" s="19" t="s">
        <v>95</v>
      </c>
      <c r="H32" s="19" t="s">
        <v>72</v>
      </c>
      <c r="I32" s="19" t="s">
        <v>96</v>
      </c>
      <c r="J32" s="19" t="s">
        <v>97</v>
      </c>
      <c r="K32" s="22">
        <f>IF(L32=0,0,L32/LOOKUP(C32,Settings!$F$5:$F$20,Settings!$G$5:$G$20))</f>
        <v>40336.134453781509</v>
      </c>
      <c r="L32" s="23">
        <v>480000000</v>
      </c>
      <c r="M32" s="22">
        <f>IF(N32=0,0,N32/LOOKUP(C32,Settings!$F$5:$F$20,Settings!$G$5:$G$20))</f>
        <v>12100.840336134454</v>
      </c>
      <c r="N32" s="23">
        <v>144000000</v>
      </c>
      <c r="O32" s="24">
        <f t="shared" si="0"/>
        <v>28235.294117647056</v>
      </c>
      <c r="P32" s="24">
        <f t="shared" si="1"/>
        <v>336000000</v>
      </c>
      <c r="Q32" s="19" t="s">
        <v>28</v>
      </c>
      <c r="R32" s="19" t="s">
        <v>29</v>
      </c>
      <c r="S32" s="20">
        <v>45395</v>
      </c>
      <c r="T32" s="19" t="s">
        <v>30</v>
      </c>
      <c r="U32" s="19" t="s">
        <v>57</v>
      </c>
    </row>
    <row r="33" spans="1:21" x14ac:dyDescent="0.2">
      <c r="A33" s="13">
        <v>31</v>
      </c>
      <c r="B33" s="13" t="s">
        <v>116</v>
      </c>
      <c r="C33" s="14">
        <v>45393</v>
      </c>
      <c r="D33" s="13" t="s">
        <v>117</v>
      </c>
      <c r="E33" s="13" t="s">
        <v>118</v>
      </c>
      <c r="F33" s="15"/>
      <c r="G33" s="13" t="s">
        <v>119</v>
      </c>
      <c r="H33" s="13" t="s">
        <v>25</v>
      </c>
      <c r="I33" s="13" t="s">
        <v>120</v>
      </c>
      <c r="J33" s="13" t="s">
        <v>121</v>
      </c>
      <c r="K33" s="16">
        <f>IF(L33=0,0,L33/LOOKUP(C33,Settings!$F$5:$F$20,Settings!$G$5:$G$20))</f>
        <v>29045.643153526969</v>
      </c>
      <c r="L33" s="17">
        <v>350000000</v>
      </c>
      <c r="M33" s="16">
        <f>IF(N33=0,0,N33/LOOKUP(C33,Settings!$F$5:$F$20,Settings!$G$5:$G$20))</f>
        <v>11618.257261410788</v>
      </c>
      <c r="N33" s="17">
        <v>140000000</v>
      </c>
      <c r="O33" s="18">
        <f t="shared" si="0"/>
        <v>17427.385892116181</v>
      </c>
      <c r="P33" s="18">
        <f t="shared" si="1"/>
        <v>210000000</v>
      </c>
      <c r="Q33" s="13" t="s">
        <v>28</v>
      </c>
      <c r="R33" s="13" t="s">
        <v>29</v>
      </c>
      <c r="S33" s="14">
        <v>45423</v>
      </c>
      <c r="T33" s="13" t="s">
        <v>30</v>
      </c>
      <c r="U33" s="13" t="s">
        <v>31</v>
      </c>
    </row>
    <row r="34" spans="1:21" x14ac:dyDescent="0.2">
      <c r="A34" s="19">
        <v>32</v>
      </c>
      <c r="B34" s="19" t="s">
        <v>108</v>
      </c>
      <c r="C34" s="20">
        <v>45399</v>
      </c>
      <c r="D34" s="19" t="s">
        <v>109</v>
      </c>
      <c r="E34" s="19" t="s">
        <v>122</v>
      </c>
      <c r="F34" s="21"/>
      <c r="G34" s="19" t="s">
        <v>111</v>
      </c>
      <c r="H34" s="19" t="s">
        <v>45</v>
      </c>
      <c r="I34" s="19" t="s">
        <v>112</v>
      </c>
      <c r="J34" s="19" t="s">
        <v>113</v>
      </c>
      <c r="K34" s="22">
        <f>IF(L34=0,0,L34/LOOKUP(C34,Settings!$F$5:$F$20,Settings!$G$5:$G$20))</f>
        <v>23236.514522821577</v>
      </c>
      <c r="L34" s="23">
        <v>280000000</v>
      </c>
      <c r="M34" s="22">
        <f>IF(N34=0,0,N34/LOOKUP(C34,Settings!$F$5:$F$20,Settings!$G$5:$G$20))</f>
        <v>6970.9543568464733</v>
      </c>
      <c r="N34" s="23">
        <v>84000000</v>
      </c>
      <c r="O34" s="24">
        <f t="shared" si="0"/>
        <v>16265.560165975105</v>
      </c>
      <c r="P34" s="24">
        <f t="shared" si="1"/>
        <v>196000000</v>
      </c>
      <c r="Q34" s="19" t="s">
        <v>28</v>
      </c>
      <c r="R34" s="19" t="s">
        <v>29</v>
      </c>
      <c r="S34" s="20">
        <v>45414</v>
      </c>
      <c r="T34" s="19" t="s">
        <v>30</v>
      </c>
      <c r="U34" s="19" t="s">
        <v>40</v>
      </c>
    </row>
    <row r="35" spans="1:21" x14ac:dyDescent="0.2">
      <c r="A35" s="13">
        <v>33</v>
      </c>
      <c r="B35" s="13" t="s">
        <v>101</v>
      </c>
      <c r="C35" s="14">
        <v>45446</v>
      </c>
      <c r="D35" s="13" t="s">
        <v>102</v>
      </c>
      <c r="E35" s="13" t="s">
        <v>123</v>
      </c>
      <c r="F35" s="15"/>
      <c r="G35" s="13" t="s">
        <v>104</v>
      </c>
      <c r="H35" s="13" t="s">
        <v>36</v>
      </c>
      <c r="I35" s="13" t="s">
        <v>105</v>
      </c>
      <c r="J35" s="13" t="s">
        <v>106</v>
      </c>
      <c r="K35" s="16">
        <f>IF(L35=0,0,L35/LOOKUP(C35,Settings!$F$5:$F$20,Settings!$G$5:$G$20))</f>
        <v>59751.037344398341</v>
      </c>
      <c r="L35" s="17">
        <v>720000000</v>
      </c>
      <c r="M35" s="16">
        <f>IF(N35=0,0,N35/LOOKUP(C35,Settings!$F$5:$F$20,Settings!$G$5:$G$20))</f>
        <v>17925.311203319503</v>
      </c>
      <c r="N35" s="17">
        <v>216000000</v>
      </c>
      <c r="O35" s="18">
        <f t="shared" si="0"/>
        <v>41825.726141078834</v>
      </c>
      <c r="P35" s="18">
        <f t="shared" si="1"/>
        <v>504000000</v>
      </c>
      <c r="Q35" s="13" t="s">
        <v>28</v>
      </c>
      <c r="R35" s="13" t="s">
        <v>29</v>
      </c>
      <c r="S35" s="14">
        <v>45476</v>
      </c>
      <c r="T35" s="13" t="s">
        <v>30</v>
      </c>
      <c r="U35" s="13" t="s">
        <v>57</v>
      </c>
    </row>
    <row r="36" spans="1:21" x14ac:dyDescent="0.2">
      <c r="A36" s="19">
        <v>34</v>
      </c>
      <c r="B36" s="19" t="s">
        <v>124</v>
      </c>
      <c r="C36" s="20">
        <v>45450</v>
      </c>
      <c r="D36" s="19" t="s">
        <v>125</v>
      </c>
      <c r="E36" s="19" t="s">
        <v>126</v>
      </c>
      <c r="F36" s="21"/>
      <c r="G36" s="19" t="s">
        <v>127</v>
      </c>
      <c r="H36" s="19" t="s">
        <v>128</v>
      </c>
      <c r="I36" s="19" t="s">
        <v>129</v>
      </c>
      <c r="J36" s="19" t="s">
        <v>130</v>
      </c>
      <c r="K36" s="22">
        <f>IF(L36=0,0,L36/LOOKUP(C36,Settings!$F$5:$F$20,Settings!$G$5:$G$20))</f>
        <v>14937.759336099585</v>
      </c>
      <c r="L36" s="23">
        <v>180000000</v>
      </c>
      <c r="M36" s="22">
        <f>IF(N36=0,0,N36/LOOKUP(C36,Settings!$F$5:$F$20,Settings!$G$5:$G$20))</f>
        <v>5975.1037344398337</v>
      </c>
      <c r="N36" s="23">
        <v>72000000</v>
      </c>
      <c r="O36" s="24">
        <f t="shared" si="0"/>
        <v>8962.6556016597515</v>
      </c>
      <c r="P36" s="24">
        <f t="shared" si="1"/>
        <v>108000000</v>
      </c>
      <c r="Q36" s="19" t="s">
        <v>28</v>
      </c>
      <c r="R36" s="19" t="s">
        <v>29</v>
      </c>
      <c r="S36" s="20">
        <v>45480</v>
      </c>
      <c r="T36" s="19" t="s">
        <v>30</v>
      </c>
      <c r="U36" s="19" t="s">
        <v>31</v>
      </c>
    </row>
    <row r="37" spans="1:21" x14ac:dyDescent="0.2">
      <c r="A37" s="13">
        <v>35</v>
      </c>
      <c r="B37" s="13" t="s">
        <v>116</v>
      </c>
      <c r="C37" s="14">
        <v>45459</v>
      </c>
      <c r="D37" s="13" t="s">
        <v>117</v>
      </c>
      <c r="E37" s="13" t="s">
        <v>131</v>
      </c>
      <c r="F37" s="15"/>
      <c r="G37" s="13" t="s">
        <v>119</v>
      </c>
      <c r="H37" s="13" t="s">
        <v>25</v>
      </c>
      <c r="I37" s="13" t="s">
        <v>120</v>
      </c>
      <c r="J37" s="13" t="s">
        <v>121</v>
      </c>
      <c r="K37" s="16">
        <f>IF(L37=0,0,L37/LOOKUP(C37,Settings!$F$5:$F$20,Settings!$G$5:$G$20))</f>
        <v>29045.643153526969</v>
      </c>
      <c r="L37" s="17">
        <v>350000000</v>
      </c>
      <c r="M37" s="16">
        <f>IF(N37=0,0,N37/LOOKUP(C37,Settings!$F$5:$F$20,Settings!$G$5:$G$20))</f>
        <v>8713.6929460580905</v>
      </c>
      <c r="N37" s="17">
        <v>105000000</v>
      </c>
      <c r="O37" s="18">
        <f t="shared" si="0"/>
        <v>20331.950207468879</v>
      </c>
      <c r="P37" s="18">
        <f t="shared" si="1"/>
        <v>245000000</v>
      </c>
      <c r="Q37" s="13" t="s">
        <v>28</v>
      </c>
      <c r="R37" s="13" t="s">
        <v>29</v>
      </c>
      <c r="S37" s="14">
        <v>45474</v>
      </c>
      <c r="T37" s="13" t="s">
        <v>30</v>
      </c>
      <c r="U37" s="13" t="s">
        <v>40</v>
      </c>
    </row>
    <row r="38" spans="1:21" x14ac:dyDescent="0.2">
      <c r="A38" s="19">
        <v>36</v>
      </c>
      <c r="B38" s="19" t="s">
        <v>108</v>
      </c>
      <c r="C38" s="20">
        <v>45468</v>
      </c>
      <c r="D38" s="19" t="s">
        <v>109</v>
      </c>
      <c r="E38" s="19" t="s">
        <v>132</v>
      </c>
      <c r="F38" s="21"/>
      <c r="G38" s="19" t="s">
        <v>111</v>
      </c>
      <c r="H38" s="19" t="s">
        <v>45</v>
      </c>
      <c r="I38" s="19" t="s">
        <v>112</v>
      </c>
      <c r="J38" s="19" t="s">
        <v>113</v>
      </c>
      <c r="K38" s="22">
        <f>IF(L38=0,0,L38/LOOKUP(C38,Settings!$F$5:$F$20,Settings!$G$5:$G$20))</f>
        <v>23236.514522821577</v>
      </c>
      <c r="L38" s="23">
        <v>280000000</v>
      </c>
      <c r="M38" s="22">
        <f>IF(N38=0,0,N38/LOOKUP(C38,Settings!$F$5:$F$20,Settings!$G$5:$G$20))</f>
        <v>6970.9543568464733</v>
      </c>
      <c r="N38" s="23">
        <v>84000000</v>
      </c>
      <c r="O38" s="24">
        <f t="shared" si="0"/>
        <v>16265.560165975105</v>
      </c>
      <c r="P38" s="24">
        <f t="shared" si="1"/>
        <v>196000000</v>
      </c>
      <c r="Q38" s="19" t="s">
        <v>28</v>
      </c>
      <c r="R38" s="19" t="s">
        <v>29</v>
      </c>
      <c r="S38" s="20">
        <v>45498</v>
      </c>
      <c r="T38" s="19" t="s">
        <v>30</v>
      </c>
      <c r="U38" s="19" t="s">
        <v>57</v>
      </c>
    </row>
    <row r="39" spans="1:21" x14ac:dyDescent="0.2">
      <c r="A39" s="13">
        <v>37</v>
      </c>
      <c r="B39" s="13" t="s">
        <v>124</v>
      </c>
      <c r="C39" s="14">
        <v>45519</v>
      </c>
      <c r="D39" s="13" t="s">
        <v>125</v>
      </c>
      <c r="E39" s="13" t="s">
        <v>133</v>
      </c>
      <c r="F39" s="15"/>
      <c r="G39" s="13" t="s">
        <v>127</v>
      </c>
      <c r="H39" s="13" t="s">
        <v>128</v>
      </c>
      <c r="I39" s="13" t="s">
        <v>129</v>
      </c>
      <c r="J39" s="13" t="s">
        <v>130</v>
      </c>
      <c r="K39" s="16">
        <f>IF(L39=0,0,L39/LOOKUP(C39,Settings!$F$5:$F$20,Settings!$G$5:$G$20))</f>
        <v>14754.098360655738</v>
      </c>
      <c r="L39" s="17">
        <v>180000000</v>
      </c>
      <c r="M39" s="16">
        <f>IF(N39=0,0,N39/LOOKUP(C39,Settings!$F$5:$F$20,Settings!$G$5:$G$20))</f>
        <v>4426.2295081967213</v>
      </c>
      <c r="N39" s="17">
        <v>54000000</v>
      </c>
      <c r="O39" s="18">
        <f t="shared" si="0"/>
        <v>10327.868852459018</v>
      </c>
      <c r="P39" s="18">
        <f t="shared" si="1"/>
        <v>126000000</v>
      </c>
      <c r="Q39" s="13" t="s">
        <v>28</v>
      </c>
      <c r="R39" s="13" t="s">
        <v>29</v>
      </c>
      <c r="S39" s="14">
        <v>45534</v>
      </c>
      <c r="T39" s="13" t="s">
        <v>30</v>
      </c>
      <c r="U39" s="13" t="s">
        <v>40</v>
      </c>
    </row>
    <row r="40" spans="1:21" x14ac:dyDescent="0.2">
      <c r="A40" s="19">
        <v>38</v>
      </c>
      <c r="B40" s="19" t="s">
        <v>134</v>
      </c>
      <c r="C40" s="20">
        <v>45520</v>
      </c>
      <c r="D40" s="19" t="s">
        <v>135</v>
      </c>
      <c r="E40" s="19" t="s">
        <v>136</v>
      </c>
      <c r="F40" s="21"/>
      <c r="G40" s="19" t="s">
        <v>137</v>
      </c>
      <c r="H40" s="19" t="s">
        <v>36</v>
      </c>
      <c r="I40" s="19" t="s">
        <v>138</v>
      </c>
      <c r="J40" s="19" t="s">
        <v>139</v>
      </c>
      <c r="K40" s="22">
        <f>IF(L40=0,0,L40/LOOKUP(C40,Settings!$F$5:$F$20,Settings!$G$5:$G$20))</f>
        <v>49180.327868852459</v>
      </c>
      <c r="L40" s="23">
        <v>600000000</v>
      </c>
      <c r="M40" s="22">
        <f>IF(N40=0,0,N40/LOOKUP(C40,Settings!$F$5:$F$20,Settings!$G$5:$G$20))</f>
        <v>19672.131147540982</v>
      </c>
      <c r="N40" s="23">
        <v>240000000</v>
      </c>
      <c r="O40" s="24">
        <f t="shared" si="0"/>
        <v>29508.196721311477</v>
      </c>
      <c r="P40" s="24">
        <f t="shared" si="1"/>
        <v>360000000</v>
      </c>
      <c r="Q40" s="19" t="s">
        <v>28</v>
      </c>
      <c r="R40" s="19" t="s">
        <v>29</v>
      </c>
      <c r="S40" s="20">
        <v>45550</v>
      </c>
      <c r="T40" s="19" t="s">
        <v>30</v>
      </c>
      <c r="U40" s="19" t="s">
        <v>31</v>
      </c>
    </row>
    <row r="41" spans="1:21" x14ac:dyDescent="0.2">
      <c r="A41" s="13">
        <v>39</v>
      </c>
      <c r="B41" s="13" t="s">
        <v>116</v>
      </c>
      <c r="C41" s="14">
        <v>45525</v>
      </c>
      <c r="D41" s="13" t="s">
        <v>117</v>
      </c>
      <c r="E41" s="13" t="s">
        <v>140</v>
      </c>
      <c r="F41" s="15"/>
      <c r="G41" s="13" t="s">
        <v>119</v>
      </c>
      <c r="H41" s="13" t="s">
        <v>25</v>
      </c>
      <c r="I41" s="13" t="s">
        <v>120</v>
      </c>
      <c r="J41" s="13" t="s">
        <v>121</v>
      </c>
      <c r="K41" s="16">
        <f>IF(L41=0,0,L41/LOOKUP(C41,Settings!$F$5:$F$20,Settings!$G$5:$G$20))</f>
        <v>28688.524590163935</v>
      </c>
      <c r="L41" s="17">
        <v>350000000</v>
      </c>
      <c r="M41" s="16">
        <f>IF(N41=0,0,N41/LOOKUP(C41,Settings!$F$5:$F$20,Settings!$G$5:$G$20))</f>
        <v>8606.557377049181</v>
      </c>
      <c r="N41" s="17">
        <v>105000000</v>
      </c>
      <c r="O41" s="18">
        <f t="shared" si="0"/>
        <v>20081.967213114753</v>
      </c>
      <c r="P41" s="18">
        <f t="shared" si="1"/>
        <v>245000000</v>
      </c>
      <c r="Q41" s="13" t="s">
        <v>28</v>
      </c>
      <c r="R41" s="13" t="s">
        <v>29</v>
      </c>
      <c r="S41" s="14">
        <v>45555</v>
      </c>
      <c r="T41" s="13" t="s">
        <v>30</v>
      </c>
      <c r="U41" s="13" t="s">
        <v>57</v>
      </c>
    </row>
    <row r="42" spans="1:21" x14ac:dyDescent="0.2">
      <c r="A42" s="19">
        <v>40</v>
      </c>
      <c r="B42" s="19" t="s">
        <v>141</v>
      </c>
      <c r="C42" s="20">
        <v>45578</v>
      </c>
      <c r="D42" s="19" t="s">
        <v>142</v>
      </c>
      <c r="E42" s="19" t="s">
        <v>143</v>
      </c>
      <c r="F42" s="21"/>
      <c r="G42" s="19" t="s">
        <v>144</v>
      </c>
      <c r="H42" s="19" t="s">
        <v>45</v>
      </c>
      <c r="I42" s="19" t="s">
        <v>145</v>
      </c>
      <c r="J42" s="19" t="s">
        <v>146</v>
      </c>
      <c r="K42" s="22">
        <f>IF(L42=0,0,L42/LOOKUP(C42,Settings!$F$5:$F$20,Settings!$G$5:$G$20))</f>
        <v>20242.914979757086</v>
      </c>
      <c r="L42" s="23">
        <v>250000000</v>
      </c>
      <c r="M42" s="22">
        <f>IF(N42=0,0,N42/LOOKUP(C42,Settings!$F$5:$F$20,Settings!$G$5:$G$20))</f>
        <v>8097.1659919028343</v>
      </c>
      <c r="N42" s="23">
        <v>100000000</v>
      </c>
      <c r="O42" s="24">
        <f t="shared" si="0"/>
        <v>12145.748987854251</v>
      </c>
      <c r="P42" s="24">
        <f t="shared" si="1"/>
        <v>150000000</v>
      </c>
      <c r="Q42" s="19" t="s">
        <v>28</v>
      </c>
      <c r="R42" s="19" t="s">
        <v>29</v>
      </c>
      <c r="S42" s="20">
        <v>45608</v>
      </c>
      <c r="T42" s="19" t="s">
        <v>30</v>
      </c>
      <c r="U42" s="19" t="s">
        <v>31</v>
      </c>
    </row>
    <row r="43" spans="1:21" x14ac:dyDescent="0.2">
      <c r="A43" s="13">
        <v>41</v>
      </c>
      <c r="B43" s="13" t="s">
        <v>124</v>
      </c>
      <c r="C43" s="14">
        <v>45585</v>
      </c>
      <c r="D43" s="13" t="s">
        <v>125</v>
      </c>
      <c r="E43" s="13" t="s">
        <v>147</v>
      </c>
      <c r="F43" s="15"/>
      <c r="G43" s="13" t="s">
        <v>127</v>
      </c>
      <c r="H43" s="13" t="s">
        <v>128</v>
      </c>
      <c r="I43" s="13" t="s">
        <v>129</v>
      </c>
      <c r="J43" s="13" t="s">
        <v>130</v>
      </c>
      <c r="K43" s="16">
        <f>IF(L43=0,0,L43/LOOKUP(C43,Settings!$F$5:$F$20,Settings!$G$5:$G$20))</f>
        <v>14574.898785425101</v>
      </c>
      <c r="L43" s="17">
        <v>180000000</v>
      </c>
      <c r="M43" s="16">
        <f>IF(N43=0,0,N43/LOOKUP(C43,Settings!$F$5:$F$20,Settings!$G$5:$G$20))</f>
        <v>4372.4696356275308</v>
      </c>
      <c r="N43" s="17">
        <v>54000000</v>
      </c>
      <c r="O43" s="18">
        <f t="shared" si="0"/>
        <v>10202.42914979757</v>
      </c>
      <c r="P43" s="18">
        <f t="shared" si="1"/>
        <v>126000000</v>
      </c>
      <c r="Q43" s="13" t="s">
        <v>28</v>
      </c>
      <c r="R43" s="13" t="s">
        <v>29</v>
      </c>
      <c r="S43" s="14">
        <v>45615</v>
      </c>
      <c r="T43" s="13" t="s">
        <v>30</v>
      </c>
      <c r="U43" s="13" t="s">
        <v>57</v>
      </c>
    </row>
    <row r="44" spans="1:21" x14ac:dyDescent="0.2">
      <c r="A44" s="19">
        <v>42</v>
      </c>
      <c r="B44" s="19" t="s">
        <v>134</v>
      </c>
      <c r="C44" s="20">
        <v>45587</v>
      </c>
      <c r="D44" s="19" t="s">
        <v>135</v>
      </c>
      <c r="E44" s="19" t="s">
        <v>148</v>
      </c>
      <c r="F44" s="21"/>
      <c r="G44" s="19" t="s">
        <v>137</v>
      </c>
      <c r="H44" s="19" t="s">
        <v>36</v>
      </c>
      <c r="I44" s="19" t="s">
        <v>138</v>
      </c>
      <c r="J44" s="19" t="s">
        <v>139</v>
      </c>
      <c r="K44" s="22">
        <f>IF(L44=0,0,L44/LOOKUP(C44,Settings!$F$5:$F$20,Settings!$G$5:$G$20))</f>
        <v>48582.995951417004</v>
      </c>
      <c r="L44" s="23">
        <v>600000000</v>
      </c>
      <c r="M44" s="22">
        <f>IF(N44=0,0,N44/LOOKUP(C44,Settings!$F$5:$F$20,Settings!$G$5:$G$20))</f>
        <v>14574.898785425101</v>
      </c>
      <c r="N44" s="23">
        <v>180000000</v>
      </c>
      <c r="O44" s="24">
        <f t="shared" si="0"/>
        <v>34008.097165991901</v>
      </c>
      <c r="P44" s="24">
        <f t="shared" si="1"/>
        <v>420000000</v>
      </c>
      <c r="Q44" s="19" t="s">
        <v>28</v>
      </c>
      <c r="R44" s="19" t="s">
        <v>29</v>
      </c>
      <c r="S44" s="20">
        <v>45602</v>
      </c>
      <c r="T44" s="19" t="s">
        <v>30</v>
      </c>
      <c r="U44" s="19" t="s">
        <v>40</v>
      </c>
    </row>
    <row r="45" spans="1:21" x14ac:dyDescent="0.2">
      <c r="A45" s="13">
        <v>43</v>
      </c>
      <c r="B45" s="13" t="s">
        <v>141</v>
      </c>
      <c r="C45" s="14">
        <v>45625</v>
      </c>
      <c r="D45" s="13" t="s">
        <v>142</v>
      </c>
      <c r="E45" s="13" t="s">
        <v>149</v>
      </c>
      <c r="F45" s="15"/>
      <c r="G45" s="13" t="s">
        <v>144</v>
      </c>
      <c r="H45" s="13" t="s">
        <v>45</v>
      </c>
      <c r="I45" s="13" t="s">
        <v>145</v>
      </c>
      <c r="J45" s="13" t="s">
        <v>146</v>
      </c>
      <c r="K45" s="16">
        <f>IF(L45=0,0,L45/LOOKUP(C45,Settings!$F$5:$F$20,Settings!$G$5:$G$20))</f>
        <v>20242.914979757086</v>
      </c>
      <c r="L45" s="17">
        <v>250000000</v>
      </c>
      <c r="M45" s="16">
        <f>IF(N45=0,0,N45/LOOKUP(C45,Settings!$F$5:$F$20,Settings!$G$5:$G$20))</f>
        <v>6072.8744939271255</v>
      </c>
      <c r="N45" s="17">
        <v>75000000</v>
      </c>
      <c r="O45" s="18">
        <f t="shared" si="0"/>
        <v>14170.040485829961</v>
      </c>
      <c r="P45" s="18">
        <f t="shared" si="1"/>
        <v>175000000</v>
      </c>
      <c r="Q45" s="13" t="s">
        <v>28</v>
      </c>
      <c r="R45" s="13" t="s">
        <v>29</v>
      </c>
      <c r="S45" s="14">
        <v>45640</v>
      </c>
      <c r="T45" s="13" t="s">
        <v>30</v>
      </c>
      <c r="U45" s="13" t="s">
        <v>40</v>
      </c>
    </row>
    <row r="46" spans="1:21" x14ac:dyDescent="0.2">
      <c r="A46" s="19">
        <v>44</v>
      </c>
      <c r="B46" s="19" t="s">
        <v>150</v>
      </c>
      <c r="C46" s="20">
        <v>45645</v>
      </c>
      <c r="D46" s="19" t="s">
        <v>151</v>
      </c>
      <c r="E46" s="19" t="s">
        <v>152</v>
      </c>
      <c r="F46" s="21"/>
      <c r="G46" s="19" t="s">
        <v>153</v>
      </c>
      <c r="H46" s="19" t="s">
        <v>25</v>
      </c>
      <c r="I46" s="19" t="s">
        <v>154</v>
      </c>
      <c r="J46" s="19" t="s">
        <v>155</v>
      </c>
      <c r="K46" s="22">
        <f>IF(L46=0,0,L46/LOOKUP(C46,Settings!$F$5:$F$20,Settings!$G$5:$G$20))</f>
        <v>72874.493927125499</v>
      </c>
      <c r="L46" s="23">
        <v>900000000</v>
      </c>
      <c r="M46" s="22">
        <f>IF(N46=0,0,N46/LOOKUP(C46,Settings!$F$5:$F$20,Settings!$G$5:$G$20))</f>
        <v>29149.797570850202</v>
      </c>
      <c r="N46" s="23">
        <v>360000000</v>
      </c>
      <c r="O46" s="24">
        <f t="shared" si="0"/>
        <v>43724.696356275294</v>
      </c>
      <c r="P46" s="24">
        <f t="shared" si="1"/>
        <v>540000000</v>
      </c>
      <c r="Q46" s="19" t="s">
        <v>28</v>
      </c>
      <c r="R46" s="19" t="s">
        <v>29</v>
      </c>
      <c r="S46" s="20">
        <v>45675</v>
      </c>
      <c r="T46" s="19" t="s">
        <v>30</v>
      </c>
      <c r="U46" s="19" t="s">
        <v>31</v>
      </c>
    </row>
    <row r="47" spans="1:21" x14ac:dyDescent="0.2">
      <c r="A47" s="13">
        <v>45</v>
      </c>
      <c r="B47" s="13" t="s">
        <v>134</v>
      </c>
      <c r="C47" s="14">
        <v>45685</v>
      </c>
      <c r="D47" s="13" t="s">
        <v>135</v>
      </c>
      <c r="E47" s="13" t="s">
        <v>156</v>
      </c>
      <c r="F47" s="15"/>
      <c r="G47" s="13" t="s">
        <v>137</v>
      </c>
      <c r="H47" s="13" t="s">
        <v>36</v>
      </c>
      <c r="I47" s="13" t="s">
        <v>138</v>
      </c>
      <c r="J47" s="13" t="s">
        <v>139</v>
      </c>
      <c r="K47" s="16">
        <f>IF(L47=0,0,L47/LOOKUP(C47,Settings!$F$5:$F$20,Settings!$G$5:$G$20))</f>
        <v>48000</v>
      </c>
      <c r="L47" s="17">
        <v>600000000</v>
      </c>
      <c r="M47" s="16">
        <f>IF(N47=0,0,N47/LOOKUP(C47,Settings!$F$5:$F$20,Settings!$G$5:$G$20))</f>
        <v>14400</v>
      </c>
      <c r="N47" s="17">
        <v>180000000</v>
      </c>
      <c r="O47" s="18">
        <f t="shared" si="0"/>
        <v>33600</v>
      </c>
      <c r="P47" s="18">
        <f t="shared" si="1"/>
        <v>420000000</v>
      </c>
      <c r="Q47" s="13" t="s">
        <v>28</v>
      </c>
      <c r="R47" s="13" t="s">
        <v>29</v>
      </c>
      <c r="S47" s="14">
        <v>45715</v>
      </c>
      <c r="T47" s="13" t="s">
        <v>30</v>
      </c>
      <c r="U47" s="13" t="s">
        <v>57</v>
      </c>
    </row>
    <row r="48" spans="1:21" x14ac:dyDescent="0.2">
      <c r="A48" s="19">
        <v>46</v>
      </c>
      <c r="B48" s="19" t="s">
        <v>157</v>
      </c>
      <c r="C48" s="20">
        <v>45705</v>
      </c>
      <c r="D48" s="19" t="s">
        <v>158</v>
      </c>
      <c r="E48" s="19" t="s">
        <v>159</v>
      </c>
      <c r="F48" s="21"/>
      <c r="G48" s="19" t="s">
        <v>160</v>
      </c>
      <c r="H48" s="19" t="s">
        <v>36</v>
      </c>
      <c r="I48" s="19" t="s">
        <v>161</v>
      </c>
      <c r="J48" s="19" t="s">
        <v>162</v>
      </c>
      <c r="K48" s="22">
        <f>IF(L48=0,0,L48/LOOKUP(C48,Settings!$F$5:$F$20,Settings!$G$5:$G$20))</f>
        <v>88000</v>
      </c>
      <c r="L48" s="23">
        <v>1100000000</v>
      </c>
      <c r="M48" s="22">
        <f>IF(N48=0,0,N48/LOOKUP(C48,Settings!$F$5:$F$20,Settings!$G$5:$G$20))</f>
        <v>35200</v>
      </c>
      <c r="N48" s="23">
        <v>440000000</v>
      </c>
      <c r="O48" s="24">
        <f t="shared" si="0"/>
        <v>52800</v>
      </c>
      <c r="P48" s="24">
        <f t="shared" si="1"/>
        <v>660000000</v>
      </c>
      <c r="Q48" s="19" t="s">
        <v>28</v>
      </c>
      <c r="R48" s="19" t="s">
        <v>29</v>
      </c>
      <c r="S48" s="20">
        <v>45735</v>
      </c>
      <c r="T48" s="19" t="s">
        <v>30</v>
      </c>
      <c r="U48" s="19" t="s">
        <v>31</v>
      </c>
    </row>
    <row r="49" spans="1:21" x14ac:dyDescent="0.2">
      <c r="A49" s="13">
        <v>47</v>
      </c>
      <c r="B49" s="13" t="s">
        <v>150</v>
      </c>
      <c r="C49" s="14">
        <v>45724</v>
      </c>
      <c r="D49" s="13" t="s">
        <v>151</v>
      </c>
      <c r="E49" s="13" t="s">
        <v>163</v>
      </c>
      <c r="F49" s="15"/>
      <c r="G49" s="13" t="s">
        <v>153</v>
      </c>
      <c r="H49" s="13" t="s">
        <v>25</v>
      </c>
      <c r="I49" s="13" t="s">
        <v>154</v>
      </c>
      <c r="J49" s="13" t="s">
        <v>155</v>
      </c>
      <c r="K49" s="16">
        <f>IF(L49=0,0,L49/LOOKUP(C49,Settings!$F$5:$F$20,Settings!$G$5:$G$20))</f>
        <v>72000</v>
      </c>
      <c r="L49" s="17">
        <v>900000000</v>
      </c>
      <c r="M49" s="16">
        <f>IF(N49=0,0,N49/LOOKUP(C49,Settings!$F$5:$F$20,Settings!$G$5:$G$20))</f>
        <v>21600</v>
      </c>
      <c r="N49" s="17">
        <v>270000000</v>
      </c>
      <c r="O49" s="18">
        <f t="shared" si="0"/>
        <v>50400</v>
      </c>
      <c r="P49" s="18">
        <f t="shared" si="1"/>
        <v>630000000</v>
      </c>
      <c r="Q49" s="13" t="s">
        <v>28</v>
      </c>
      <c r="R49" s="13" t="s">
        <v>29</v>
      </c>
      <c r="S49" s="14">
        <v>45739</v>
      </c>
      <c r="T49" s="13" t="s">
        <v>30</v>
      </c>
      <c r="U49" s="13" t="s">
        <v>40</v>
      </c>
    </row>
    <row r="50" spans="1:21" x14ac:dyDescent="0.2">
      <c r="A50" s="19">
        <v>48</v>
      </c>
      <c r="B50" s="19" t="s">
        <v>141</v>
      </c>
      <c r="C50" s="20">
        <v>45731</v>
      </c>
      <c r="D50" s="19" t="s">
        <v>142</v>
      </c>
      <c r="E50" s="19" t="s">
        <v>164</v>
      </c>
      <c r="F50" s="21"/>
      <c r="G50" s="19" t="s">
        <v>144</v>
      </c>
      <c r="H50" s="19" t="s">
        <v>45</v>
      </c>
      <c r="I50" s="19" t="s">
        <v>145</v>
      </c>
      <c r="J50" s="19" t="s">
        <v>146</v>
      </c>
      <c r="K50" s="22">
        <f>IF(L50=0,0,L50/LOOKUP(C50,Settings!$F$5:$F$20,Settings!$G$5:$G$20))</f>
        <v>20000</v>
      </c>
      <c r="L50" s="23">
        <v>250000000</v>
      </c>
      <c r="M50" s="22">
        <f>IF(N50=0,0,N50/LOOKUP(C50,Settings!$F$5:$F$20,Settings!$G$5:$G$20))</f>
        <v>6000</v>
      </c>
      <c r="N50" s="23">
        <v>75000000</v>
      </c>
      <c r="O50" s="24">
        <f t="shared" si="0"/>
        <v>14000</v>
      </c>
      <c r="P50" s="24">
        <f t="shared" si="1"/>
        <v>175000000</v>
      </c>
      <c r="Q50" s="19" t="s">
        <v>28</v>
      </c>
      <c r="R50" s="19" t="s">
        <v>29</v>
      </c>
      <c r="S50" s="20">
        <v>45761</v>
      </c>
      <c r="T50" s="19" t="s">
        <v>30</v>
      </c>
      <c r="U50" s="19" t="s">
        <v>57</v>
      </c>
    </row>
    <row r="51" spans="1:21" x14ac:dyDescent="0.2">
      <c r="A51" s="13">
        <v>49</v>
      </c>
      <c r="B51" s="13" t="s">
        <v>157</v>
      </c>
      <c r="C51" s="14">
        <v>45755</v>
      </c>
      <c r="D51" s="13" t="s">
        <v>158</v>
      </c>
      <c r="E51" s="13" t="s">
        <v>165</v>
      </c>
      <c r="F51" s="15"/>
      <c r="G51" s="13" t="s">
        <v>160</v>
      </c>
      <c r="H51" s="13" t="s">
        <v>36</v>
      </c>
      <c r="I51" s="13" t="s">
        <v>161</v>
      </c>
      <c r="J51" s="13" t="s">
        <v>162</v>
      </c>
      <c r="K51" s="16">
        <f>IF(L51=0,0,L51/LOOKUP(C51,Settings!$F$5:$F$20,Settings!$G$5:$G$20))</f>
        <v>87301.587301587308</v>
      </c>
      <c r="L51" s="17">
        <v>1100000000</v>
      </c>
      <c r="M51" s="16">
        <f>IF(N51=0,0,N51/LOOKUP(C51,Settings!$F$5:$F$20,Settings!$G$5:$G$20))</f>
        <v>26190.476190476191</v>
      </c>
      <c r="N51" s="17">
        <v>330000000</v>
      </c>
      <c r="O51" s="18">
        <f t="shared" si="0"/>
        <v>61111.111111111117</v>
      </c>
      <c r="P51" s="18">
        <f t="shared" si="1"/>
        <v>770000000</v>
      </c>
      <c r="Q51" s="13" t="s">
        <v>28</v>
      </c>
      <c r="R51" s="13" t="s">
        <v>29</v>
      </c>
      <c r="S51" s="14">
        <v>45770</v>
      </c>
      <c r="T51" s="13" t="s">
        <v>30</v>
      </c>
      <c r="U51" s="13" t="s">
        <v>40</v>
      </c>
    </row>
    <row r="52" spans="1:21" x14ac:dyDescent="0.2">
      <c r="A52" s="19">
        <v>50</v>
      </c>
      <c r="B52" s="19" t="s">
        <v>150</v>
      </c>
      <c r="C52" s="20">
        <v>45791</v>
      </c>
      <c r="D52" s="19" t="s">
        <v>151</v>
      </c>
      <c r="E52" s="19" t="s">
        <v>166</v>
      </c>
      <c r="F52" s="21"/>
      <c r="G52" s="19" t="s">
        <v>153</v>
      </c>
      <c r="H52" s="19" t="s">
        <v>25</v>
      </c>
      <c r="I52" s="19" t="s">
        <v>154</v>
      </c>
      <c r="J52" s="19" t="s">
        <v>155</v>
      </c>
      <c r="K52" s="22">
        <f>IF(L52=0,0,L52/LOOKUP(C52,Settings!$F$5:$F$20,Settings!$G$5:$G$20))</f>
        <v>71428.571428571435</v>
      </c>
      <c r="L52" s="23">
        <v>900000000</v>
      </c>
      <c r="M52" s="22">
        <f>IF(N52=0,0,N52/LOOKUP(C52,Settings!$F$5:$F$20,Settings!$G$5:$G$20))</f>
        <v>21428.571428571428</v>
      </c>
      <c r="N52" s="23">
        <v>270000000</v>
      </c>
      <c r="O52" s="24">
        <f t="shared" si="0"/>
        <v>50000.000000000007</v>
      </c>
      <c r="P52" s="24">
        <f t="shared" si="1"/>
        <v>630000000</v>
      </c>
      <c r="Q52" s="19" t="s">
        <v>28</v>
      </c>
      <c r="R52" s="19" t="s">
        <v>29</v>
      </c>
      <c r="S52" s="20">
        <v>45821</v>
      </c>
      <c r="T52" s="19" t="s">
        <v>30</v>
      </c>
      <c r="U52" s="19" t="s">
        <v>57</v>
      </c>
    </row>
    <row r="53" spans="1:21" x14ac:dyDescent="0.2">
      <c r="A53" s="13">
        <v>51</v>
      </c>
      <c r="B53" s="13" t="s">
        <v>167</v>
      </c>
      <c r="C53" s="14">
        <v>45791</v>
      </c>
      <c r="D53" s="13" t="s">
        <v>168</v>
      </c>
      <c r="E53" s="13" t="s">
        <v>169</v>
      </c>
      <c r="F53" s="15"/>
      <c r="G53" s="13" t="s">
        <v>170</v>
      </c>
      <c r="H53" s="13" t="s">
        <v>72</v>
      </c>
      <c r="I53" s="13" t="s">
        <v>171</v>
      </c>
      <c r="J53" s="13" t="s">
        <v>172</v>
      </c>
      <c r="K53" s="16">
        <f>IF(L53=0,0,L53/LOOKUP(C53,Settings!$F$5:$F$20,Settings!$G$5:$G$20))</f>
        <v>59523.809523809527</v>
      </c>
      <c r="L53" s="17">
        <v>750000000</v>
      </c>
      <c r="M53" s="16">
        <f>IF(N53=0,0,N53/LOOKUP(C53,Settings!$F$5:$F$20,Settings!$G$5:$G$20))</f>
        <v>23809.523809523809</v>
      </c>
      <c r="N53" s="17">
        <v>300000000</v>
      </c>
      <c r="O53" s="18">
        <f t="shared" si="0"/>
        <v>35714.285714285717</v>
      </c>
      <c r="P53" s="18">
        <f t="shared" si="1"/>
        <v>450000000</v>
      </c>
      <c r="Q53" s="13" t="s">
        <v>28</v>
      </c>
      <c r="R53" s="13" t="s">
        <v>29</v>
      </c>
      <c r="S53" s="14">
        <v>45821</v>
      </c>
      <c r="T53" s="13" t="s">
        <v>30</v>
      </c>
      <c r="U53" s="13" t="s">
        <v>31</v>
      </c>
    </row>
    <row r="54" spans="1:21" x14ac:dyDescent="0.2">
      <c r="A54" s="19">
        <v>52</v>
      </c>
      <c r="B54" s="19" t="s">
        <v>157</v>
      </c>
      <c r="C54" s="20">
        <v>45850</v>
      </c>
      <c r="D54" s="19" t="s">
        <v>158</v>
      </c>
      <c r="E54" s="19" t="s">
        <v>173</v>
      </c>
      <c r="F54" s="21"/>
      <c r="G54" s="19" t="s">
        <v>160</v>
      </c>
      <c r="H54" s="19" t="s">
        <v>36</v>
      </c>
      <c r="I54" s="19" t="s">
        <v>161</v>
      </c>
      <c r="J54" s="19" t="s">
        <v>162</v>
      </c>
      <c r="K54" s="22">
        <f>IF(L54=0,0,L54/LOOKUP(C54,Settings!$F$5:$F$20,Settings!$G$5:$G$20))</f>
        <v>86614.173228346452</v>
      </c>
      <c r="L54" s="23">
        <v>1100000000</v>
      </c>
      <c r="M54" s="22">
        <f>IF(N54=0,0,N54/LOOKUP(C54,Settings!$F$5:$F$20,Settings!$G$5:$G$20))</f>
        <v>25984.251968503937</v>
      </c>
      <c r="N54" s="23">
        <v>330000000</v>
      </c>
      <c r="O54" s="24">
        <f t="shared" si="0"/>
        <v>60629.921259842515</v>
      </c>
      <c r="P54" s="24">
        <f t="shared" si="1"/>
        <v>770000000</v>
      </c>
      <c r="Q54" s="19" t="s">
        <v>28</v>
      </c>
      <c r="R54" s="19" t="s">
        <v>29</v>
      </c>
      <c r="S54" s="20">
        <v>45880</v>
      </c>
      <c r="T54" s="19" t="s">
        <v>30</v>
      </c>
      <c r="U54" s="19" t="s">
        <v>57</v>
      </c>
    </row>
    <row r="55" spans="1:21" x14ac:dyDescent="0.2">
      <c r="A55" s="13">
        <v>53</v>
      </c>
      <c r="B55" s="13" t="s">
        <v>167</v>
      </c>
      <c r="C55" s="14">
        <v>45876</v>
      </c>
      <c r="D55" s="13" t="s">
        <v>168</v>
      </c>
      <c r="E55" s="13" t="s">
        <v>174</v>
      </c>
      <c r="F55" s="15"/>
      <c r="G55" s="13" t="s">
        <v>170</v>
      </c>
      <c r="H55" s="13" t="s">
        <v>72</v>
      </c>
      <c r="I55" s="13" t="s">
        <v>171</v>
      </c>
      <c r="J55" s="13" t="s">
        <v>172</v>
      </c>
      <c r="K55" s="16">
        <f>IF(L55=0,0,L55/LOOKUP(C55,Settings!$F$5:$F$20,Settings!$G$5:$G$20))</f>
        <v>59055.118110236217</v>
      </c>
      <c r="L55" s="17">
        <v>750000000</v>
      </c>
      <c r="M55" s="16">
        <f>IF(N55=0,0,N55/LOOKUP(C55,Settings!$F$5:$F$20,Settings!$G$5:$G$20))</f>
        <v>17716.535433070865</v>
      </c>
      <c r="N55" s="17">
        <v>225000000</v>
      </c>
      <c r="O55" s="18">
        <f t="shared" si="0"/>
        <v>41338.582677165352</v>
      </c>
      <c r="P55" s="18">
        <f t="shared" si="1"/>
        <v>525000000</v>
      </c>
      <c r="Q55" s="13" t="s">
        <v>28</v>
      </c>
      <c r="R55" s="13" t="s">
        <v>29</v>
      </c>
      <c r="S55" s="14">
        <v>45891</v>
      </c>
      <c r="T55" s="13" t="s">
        <v>30</v>
      </c>
      <c r="U55" s="13" t="s">
        <v>40</v>
      </c>
    </row>
    <row r="56" spans="1:21" x14ac:dyDescent="0.2">
      <c r="A56" s="19">
        <v>54</v>
      </c>
      <c r="B56" s="19" t="s">
        <v>175</v>
      </c>
      <c r="C56" s="20">
        <v>45885</v>
      </c>
      <c r="D56" s="19" t="s">
        <v>176</v>
      </c>
      <c r="E56" s="19" t="s">
        <v>177</v>
      </c>
      <c r="F56" s="21"/>
      <c r="G56" s="19" t="s">
        <v>178</v>
      </c>
      <c r="H56" s="19" t="s">
        <v>45</v>
      </c>
      <c r="I56" s="19" t="s">
        <v>179</v>
      </c>
      <c r="J56" s="19" t="s">
        <v>180</v>
      </c>
      <c r="K56" s="22">
        <f>IF(L56=0,0,L56/LOOKUP(C56,Settings!$F$5:$F$20,Settings!$G$5:$G$20))</f>
        <v>39370.078740157478</v>
      </c>
      <c r="L56" s="23">
        <v>500000000</v>
      </c>
      <c r="M56" s="22">
        <f>IF(N56=0,0,N56/LOOKUP(C56,Settings!$F$5:$F$20,Settings!$G$5:$G$20))</f>
        <v>15748.031496062993</v>
      </c>
      <c r="N56" s="23">
        <v>200000000</v>
      </c>
      <c r="O56" s="24">
        <f t="shared" si="0"/>
        <v>23622.047244094487</v>
      </c>
      <c r="P56" s="24">
        <f t="shared" si="1"/>
        <v>300000000</v>
      </c>
      <c r="Q56" s="19" t="s">
        <v>28</v>
      </c>
      <c r="R56" s="19" t="s">
        <v>29</v>
      </c>
      <c r="S56" s="20">
        <v>45915</v>
      </c>
      <c r="T56" s="19" t="s">
        <v>30</v>
      </c>
      <c r="U56" s="19" t="s">
        <v>31</v>
      </c>
    </row>
    <row r="57" spans="1:21" x14ac:dyDescent="0.2">
      <c r="A57" s="13">
        <v>55</v>
      </c>
      <c r="B57" s="13" t="s">
        <v>175</v>
      </c>
      <c r="C57" s="14">
        <v>45966</v>
      </c>
      <c r="D57" s="13" t="s">
        <v>176</v>
      </c>
      <c r="E57" s="13" t="s">
        <v>181</v>
      </c>
      <c r="F57" s="15"/>
      <c r="G57" s="13" t="s">
        <v>178</v>
      </c>
      <c r="H57" s="13" t="s">
        <v>45</v>
      </c>
      <c r="I57" s="13" t="s">
        <v>179</v>
      </c>
      <c r="J57" s="13" t="s">
        <v>180</v>
      </c>
      <c r="K57" s="16">
        <f>IF(L57=0,0,L57/LOOKUP(C57,Settings!$F$5:$F$20,Settings!$G$5:$G$20))</f>
        <v>39062.5</v>
      </c>
      <c r="L57" s="17">
        <v>500000000</v>
      </c>
      <c r="M57" s="16">
        <f>IF(N57=0,0,N57/LOOKUP(C57,Settings!$F$5:$F$20,Settings!$G$5:$G$20))</f>
        <v>11718.75</v>
      </c>
      <c r="N57" s="17">
        <v>150000000</v>
      </c>
      <c r="O57" s="18">
        <f t="shared" si="0"/>
        <v>27343.75</v>
      </c>
      <c r="P57" s="18">
        <f t="shared" si="1"/>
        <v>350000000</v>
      </c>
      <c r="Q57" s="13" t="s">
        <v>28</v>
      </c>
      <c r="R57" s="13" t="s">
        <v>29</v>
      </c>
      <c r="S57" s="14">
        <v>45981</v>
      </c>
      <c r="T57" s="13" t="s">
        <v>30</v>
      </c>
      <c r="U57" s="13" t="s">
        <v>40</v>
      </c>
    </row>
    <row r="58" spans="1:21" x14ac:dyDescent="0.2">
      <c r="A58" s="19">
        <v>56</v>
      </c>
      <c r="B58" s="19" t="s">
        <v>182</v>
      </c>
      <c r="C58" s="20">
        <v>45968</v>
      </c>
      <c r="D58" s="19" t="s">
        <v>183</v>
      </c>
      <c r="E58" s="19" t="s">
        <v>184</v>
      </c>
      <c r="F58" s="21"/>
      <c r="G58" s="19" t="s">
        <v>185</v>
      </c>
      <c r="H58" s="19" t="s">
        <v>25</v>
      </c>
      <c r="I58" s="19" t="s">
        <v>186</v>
      </c>
      <c r="J58" s="19" t="s">
        <v>187</v>
      </c>
      <c r="K58" s="22">
        <f>IF(L58=0,0,L58/LOOKUP(C58,Settings!$F$5:$F$20,Settings!$G$5:$G$20))</f>
        <v>25000</v>
      </c>
      <c r="L58" s="23">
        <v>320000000</v>
      </c>
      <c r="M58" s="22">
        <f>IF(N58=0,0,N58/LOOKUP(C58,Settings!$F$5:$F$20,Settings!$G$5:$G$20))</f>
        <v>10000</v>
      </c>
      <c r="N58" s="23">
        <v>128000000</v>
      </c>
      <c r="O58" s="24">
        <f t="shared" si="0"/>
        <v>15000</v>
      </c>
      <c r="P58" s="24">
        <f t="shared" si="1"/>
        <v>192000000</v>
      </c>
      <c r="Q58" s="19" t="s">
        <v>28</v>
      </c>
      <c r="R58" s="19" t="s">
        <v>29</v>
      </c>
      <c r="S58" s="20">
        <v>45998</v>
      </c>
      <c r="T58" s="19" t="s">
        <v>30</v>
      </c>
      <c r="U58" s="19" t="s">
        <v>31</v>
      </c>
    </row>
    <row r="59" spans="1:21" x14ac:dyDescent="0.2">
      <c r="A59" s="13">
        <v>57</v>
      </c>
      <c r="B59" s="13" t="s">
        <v>167</v>
      </c>
      <c r="C59" s="14">
        <v>45975</v>
      </c>
      <c r="D59" s="13" t="s">
        <v>168</v>
      </c>
      <c r="E59" s="13" t="s">
        <v>188</v>
      </c>
      <c r="F59" s="15"/>
      <c r="G59" s="13" t="s">
        <v>170</v>
      </c>
      <c r="H59" s="13" t="s">
        <v>72</v>
      </c>
      <c r="I59" s="13" t="s">
        <v>171</v>
      </c>
      <c r="J59" s="13" t="s">
        <v>172</v>
      </c>
      <c r="K59" s="16">
        <f>IF(L59=0,0,L59/LOOKUP(C59,Settings!$F$5:$F$20,Settings!$G$5:$G$20))</f>
        <v>58593.75</v>
      </c>
      <c r="L59" s="17">
        <v>750000000</v>
      </c>
      <c r="M59" s="16">
        <f>IF(N59=0,0,N59/LOOKUP(C59,Settings!$F$5:$F$20,Settings!$G$5:$G$20))</f>
        <v>17578.125</v>
      </c>
      <c r="N59" s="17">
        <v>225000000</v>
      </c>
      <c r="O59" s="18">
        <f t="shared" si="0"/>
        <v>41015.625</v>
      </c>
      <c r="P59" s="18">
        <f t="shared" si="1"/>
        <v>525000000</v>
      </c>
      <c r="Q59" s="13" t="s">
        <v>28</v>
      </c>
      <c r="R59" s="13" t="s">
        <v>29</v>
      </c>
      <c r="S59" s="14">
        <v>46005</v>
      </c>
      <c r="T59" s="13" t="s">
        <v>30</v>
      </c>
      <c r="U59" s="13" t="s">
        <v>57</v>
      </c>
    </row>
    <row r="60" spans="1:21" x14ac:dyDescent="0.2">
      <c r="A60" s="19">
        <v>58</v>
      </c>
      <c r="B60" s="19" t="s">
        <v>182</v>
      </c>
      <c r="C60" s="20">
        <v>46015</v>
      </c>
      <c r="D60" s="19" t="s">
        <v>183</v>
      </c>
      <c r="E60" s="19" t="s">
        <v>189</v>
      </c>
      <c r="F60" s="21"/>
      <c r="G60" s="19" t="s">
        <v>185</v>
      </c>
      <c r="H60" s="19" t="s">
        <v>25</v>
      </c>
      <c r="I60" s="19" t="s">
        <v>186</v>
      </c>
      <c r="J60" s="19" t="s">
        <v>187</v>
      </c>
      <c r="K60" s="22">
        <f>IF(L60=0,0,L60/LOOKUP(C60,Settings!$F$5:$F$20,Settings!$G$5:$G$20))</f>
        <v>25000</v>
      </c>
      <c r="L60" s="23">
        <v>320000000</v>
      </c>
      <c r="M60" s="22">
        <f>IF(N60=0,0,N60/LOOKUP(C60,Settings!$F$5:$F$20,Settings!$G$5:$G$20))</f>
        <v>7500</v>
      </c>
      <c r="N60" s="23">
        <v>96000000</v>
      </c>
      <c r="O60" s="24">
        <f t="shared" si="0"/>
        <v>17500</v>
      </c>
      <c r="P60" s="24">
        <f t="shared" si="1"/>
        <v>224000000</v>
      </c>
      <c r="Q60" s="19" t="s">
        <v>28</v>
      </c>
      <c r="R60" s="19" t="s">
        <v>29</v>
      </c>
      <c r="S60" s="20">
        <v>46030</v>
      </c>
      <c r="T60" s="19" t="s">
        <v>30</v>
      </c>
      <c r="U60" s="19" t="s">
        <v>40</v>
      </c>
    </row>
    <row r="61" spans="1:21" x14ac:dyDescent="0.2">
      <c r="A61" s="13">
        <v>59</v>
      </c>
      <c r="B61" s="13" t="s">
        <v>175</v>
      </c>
      <c r="C61" s="14">
        <v>46038</v>
      </c>
      <c r="D61" s="13" t="s">
        <v>176</v>
      </c>
      <c r="E61" s="13" t="s">
        <v>190</v>
      </c>
      <c r="F61" s="15"/>
      <c r="G61" s="13" t="s">
        <v>178</v>
      </c>
      <c r="H61" s="13" t="s">
        <v>45</v>
      </c>
      <c r="I61" s="13" t="s">
        <v>179</v>
      </c>
      <c r="J61" s="13" t="s">
        <v>180</v>
      </c>
      <c r="K61" s="16">
        <f>IF(L61=0,0,L61/LOOKUP(C61,Settings!$F$5:$F$20,Settings!$G$5:$G$20))</f>
        <v>38910.505836575874</v>
      </c>
      <c r="L61" s="17">
        <v>500000000</v>
      </c>
      <c r="M61" s="16">
        <f>IF(N61=0,0,N61/LOOKUP(C61,Settings!$F$5:$F$20,Settings!$G$5:$G$20))</f>
        <v>11673.151750972762</v>
      </c>
      <c r="N61" s="17">
        <v>150000000</v>
      </c>
      <c r="O61" s="18">
        <f t="shared" si="0"/>
        <v>27237.35408560311</v>
      </c>
      <c r="P61" s="18">
        <f t="shared" si="1"/>
        <v>350000000</v>
      </c>
      <c r="Q61" s="13" t="s">
        <v>28</v>
      </c>
      <c r="R61" s="13" t="s">
        <v>29</v>
      </c>
      <c r="S61" s="14">
        <v>46068</v>
      </c>
      <c r="T61" s="13" t="s">
        <v>191</v>
      </c>
      <c r="U61" s="13" t="s">
        <v>57</v>
      </c>
    </row>
    <row r="62" spans="1:21" x14ac:dyDescent="0.2">
      <c r="A62" s="19">
        <v>60</v>
      </c>
      <c r="B62" s="19" t="s">
        <v>182</v>
      </c>
      <c r="C62" s="20">
        <v>46117</v>
      </c>
      <c r="D62" s="19" t="s">
        <v>183</v>
      </c>
      <c r="E62" s="19" t="s">
        <v>192</v>
      </c>
      <c r="F62" s="21"/>
      <c r="G62" s="19" t="s">
        <v>185</v>
      </c>
      <c r="H62" s="19" t="s">
        <v>25</v>
      </c>
      <c r="I62" s="19" t="s">
        <v>186</v>
      </c>
      <c r="J62" s="19" t="s">
        <v>187</v>
      </c>
      <c r="K62" s="22">
        <f>IF(L62=0,0,L62/LOOKUP(C62,Settings!$F$5:$F$20,Settings!$G$5:$G$20))</f>
        <v>24902.723735408559</v>
      </c>
      <c r="L62" s="23">
        <v>320000000</v>
      </c>
      <c r="M62" s="22">
        <f>IF(N62=0,0,N62/LOOKUP(C62,Settings!$F$5:$F$20,Settings!$G$5:$G$20))</f>
        <v>7470.8171206225679</v>
      </c>
      <c r="N62" s="23">
        <v>96000000</v>
      </c>
      <c r="O62" s="24">
        <f t="shared" si="0"/>
        <v>17431.906614785992</v>
      </c>
      <c r="P62" s="24">
        <f t="shared" si="1"/>
        <v>224000000</v>
      </c>
      <c r="Q62" s="19" t="s">
        <v>28</v>
      </c>
      <c r="R62" s="19" t="s">
        <v>29</v>
      </c>
      <c r="S62" s="20">
        <v>46147</v>
      </c>
      <c r="T62" s="19" t="s">
        <v>191</v>
      </c>
      <c r="U62" s="19" t="s">
        <v>57</v>
      </c>
    </row>
    <row r="63" spans="1:21" x14ac:dyDescent="0.2">
      <c r="A63" s="13">
        <v>61</v>
      </c>
      <c r="B63" s="13" t="s">
        <v>21</v>
      </c>
      <c r="C63" s="14">
        <v>44769</v>
      </c>
      <c r="D63" s="13" t="s">
        <v>22</v>
      </c>
      <c r="E63" s="15"/>
      <c r="F63" s="13" t="s">
        <v>193</v>
      </c>
      <c r="G63" s="13" t="s">
        <v>24</v>
      </c>
      <c r="H63" s="13" t="s">
        <v>25</v>
      </c>
      <c r="I63" s="13" t="s">
        <v>194</v>
      </c>
      <c r="J63" s="13" t="s">
        <v>27</v>
      </c>
      <c r="K63" s="16">
        <f>IF(L63=0,0,L63/LOOKUP(C63,Settings!$F$5:$F$20,Settings!$G$5:$G$20))</f>
        <v>78341.013824884794</v>
      </c>
      <c r="L63" s="17">
        <v>850000000</v>
      </c>
      <c r="M63" s="16">
        <f>IF(N63=0,0,N63/LOOKUP(C63,Settings!$F$5:$F$20,Settings!$G$5:$G$20))</f>
        <v>3839.204055299539</v>
      </c>
      <c r="N63" s="17">
        <v>41655364</v>
      </c>
      <c r="O63" s="18">
        <f t="shared" si="0"/>
        <v>74501.809769585248</v>
      </c>
      <c r="P63" s="18">
        <f t="shared" si="1"/>
        <v>808344636</v>
      </c>
      <c r="Q63" s="13" t="s">
        <v>28</v>
      </c>
      <c r="R63" s="13" t="s">
        <v>195</v>
      </c>
      <c r="S63" s="14">
        <v>44784</v>
      </c>
      <c r="T63" s="13" t="s">
        <v>191</v>
      </c>
      <c r="U63" s="13" t="s">
        <v>196</v>
      </c>
    </row>
    <row r="64" spans="1:21" x14ac:dyDescent="0.2">
      <c r="A64" s="19">
        <v>62</v>
      </c>
      <c r="B64" s="19" t="s">
        <v>21</v>
      </c>
      <c r="C64" s="20">
        <v>44774</v>
      </c>
      <c r="D64" s="19" t="s">
        <v>22</v>
      </c>
      <c r="E64" s="21"/>
      <c r="F64" s="19" t="s">
        <v>197</v>
      </c>
      <c r="G64" s="19" t="s">
        <v>24</v>
      </c>
      <c r="H64" s="19" t="s">
        <v>25</v>
      </c>
      <c r="I64" s="19" t="s">
        <v>198</v>
      </c>
      <c r="J64" s="19" t="s">
        <v>27</v>
      </c>
      <c r="K64" s="22">
        <f>IF(L64=0,0,L64/LOOKUP(C64,Settings!$F$5:$F$20,Settings!$G$5:$G$20))</f>
        <v>78341.013824884794</v>
      </c>
      <c r="L64" s="23">
        <v>850000000</v>
      </c>
      <c r="M64" s="22">
        <f>IF(N64=0,0,N64/LOOKUP(C64,Settings!$F$5:$F$20,Settings!$G$5:$G$20))</f>
        <v>3170.88</v>
      </c>
      <c r="N64" s="23">
        <v>34404048</v>
      </c>
      <c r="O64" s="24">
        <f t="shared" si="0"/>
        <v>75170.13382488479</v>
      </c>
      <c r="P64" s="24">
        <f t="shared" si="1"/>
        <v>815595952</v>
      </c>
      <c r="Q64" s="19" t="s">
        <v>28</v>
      </c>
      <c r="R64" s="19" t="s">
        <v>195</v>
      </c>
      <c r="S64" s="20">
        <v>44789</v>
      </c>
      <c r="T64" s="19" t="s">
        <v>30</v>
      </c>
      <c r="U64" s="19" t="s">
        <v>199</v>
      </c>
    </row>
    <row r="65" spans="1:21" x14ac:dyDescent="0.2">
      <c r="A65" s="13">
        <v>63</v>
      </c>
      <c r="B65" s="13" t="s">
        <v>21</v>
      </c>
      <c r="C65" s="14">
        <v>44778</v>
      </c>
      <c r="D65" s="13" t="s">
        <v>22</v>
      </c>
      <c r="E65" s="15"/>
      <c r="F65" s="13" t="s">
        <v>200</v>
      </c>
      <c r="G65" s="13" t="s">
        <v>24</v>
      </c>
      <c r="H65" s="13" t="s">
        <v>25</v>
      </c>
      <c r="I65" s="13" t="s">
        <v>201</v>
      </c>
      <c r="J65" s="13" t="s">
        <v>27</v>
      </c>
      <c r="K65" s="16">
        <f>IF(L65=0,0,L65/LOOKUP(C65,Settings!$F$5:$F$20,Settings!$G$5:$G$20))</f>
        <v>78341.013824884794</v>
      </c>
      <c r="L65" s="17">
        <v>850000000</v>
      </c>
      <c r="M65" s="16">
        <f>IF(N65=0,0,N65/LOOKUP(C65,Settings!$F$5:$F$20,Settings!$G$5:$G$20))</f>
        <v>1778.3069124423964</v>
      </c>
      <c r="N65" s="17">
        <v>19294630</v>
      </c>
      <c r="O65" s="18">
        <f t="shared" si="0"/>
        <v>76562.706912442402</v>
      </c>
      <c r="P65" s="18">
        <f t="shared" si="1"/>
        <v>830705370</v>
      </c>
      <c r="Q65" s="13" t="s">
        <v>202</v>
      </c>
      <c r="R65" s="13" t="s">
        <v>203</v>
      </c>
      <c r="S65" s="14">
        <v>44788</v>
      </c>
      <c r="T65" s="13" t="s">
        <v>30</v>
      </c>
      <c r="U65" s="15"/>
    </row>
    <row r="66" spans="1:21" x14ac:dyDescent="0.2">
      <c r="A66" s="19">
        <v>64</v>
      </c>
      <c r="B66" s="19" t="s">
        <v>32</v>
      </c>
      <c r="C66" s="20">
        <v>44796</v>
      </c>
      <c r="D66" s="19" t="s">
        <v>33</v>
      </c>
      <c r="E66" s="21"/>
      <c r="F66" s="19" t="s">
        <v>200</v>
      </c>
      <c r="G66" s="19" t="s">
        <v>35</v>
      </c>
      <c r="H66" s="19" t="s">
        <v>36</v>
      </c>
      <c r="I66" s="19" t="s">
        <v>204</v>
      </c>
      <c r="J66" s="19" t="s">
        <v>38</v>
      </c>
      <c r="K66" s="22">
        <f>IF(L66=0,0,L66/LOOKUP(C66,Settings!$F$5:$F$20,Settings!$G$5:$G$20))</f>
        <v>110599.07834101382</v>
      </c>
      <c r="L66" s="23">
        <v>1200000000</v>
      </c>
      <c r="M66" s="22">
        <f>IF(N66=0,0,N66/LOOKUP(C66,Settings!$F$5:$F$20,Settings!$G$5:$G$20))</f>
        <v>1252.3987096774194</v>
      </c>
      <c r="N66" s="23">
        <v>13588526</v>
      </c>
      <c r="O66" s="24">
        <f t="shared" si="0"/>
        <v>109346.6796313364</v>
      </c>
      <c r="P66" s="24">
        <f t="shared" si="1"/>
        <v>1186411474</v>
      </c>
      <c r="Q66" s="19" t="s">
        <v>202</v>
      </c>
      <c r="R66" s="19" t="s">
        <v>203</v>
      </c>
      <c r="S66" s="20">
        <v>44806</v>
      </c>
      <c r="T66" s="19" t="s">
        <v>30</v>
      </c>
      <c r="U66" s="21"/>
    </row>
    <row r="67" spans="1:21" x14ac:dyDescent="0.2">
      <c r="A67" s="13">
        <v>65</v>
      </c>
      <c r="B67" s="13" t="s">
        <v>32</v>
      </c>
      <c r="C67" s="14">
        <v>44817</v>
      </c>
      <c r="D67" s="13" t="s">
        <v>33</v>
      </c>
      <c r="E67" s="15"/>
      <c r="F67" s="13" t="s">
        <v>205</v>
      </c>
      <c r="G67" s="13" t="s">
        <v>35</v>
      </c>
      <c r="H67" s="13" t="s">
        <v>36</v>
      </c>
      <c r="I67" s="13" t="s">
        <v>198</v>
      </c>
      <c r="J67" s="13" t="s">
        <v>38</v>
      </c>
      <c r="K67" s="16">
        <f>IF(L67=0,0,L67/LOOKUP(C67,Settings!$F$5:$F$20,Settings!$G$5:$G$20))</f>
        <v>110599.07834101382</v>
      </c>
      <c r="L67" s="17">
        <v>1200000000</v>
      </c>
      <c r="M67" s="16">
        <f>IF(N67=0,0,N67/LOOKUP(C67,Settings!$F$5:$F$20,Settings!$G$5:$G$20))</f>
        <v>7123.476221198157</v>
      </c>
      <c r="N67" s="17">
        <v>77289717</v>
      </c>
      <c r="O67" s="18">
        <f t="shared" ref="O67:O130" si="2">K67-M67</f>
        <v>103475.60211981567</v>
      </c>
      <c r="P67" s="18">
        <f t="shared" ref="P67:P130" si="3">L67-N67</f>
        <v>1122710283</v>
      </c>
      <c r="Q67" s="13" t="s">
        <v>202</v>
      </c>
      <c r="R67" s="13" t="s">
        <v>195</v>
      </c>
      <c r="S67" s="14">
        <v>44832</v>
      </c>
      <c r="T67" s="13" t="s">
        <v>191</v>
      </c>
      <c r="U67" s="13" t="s">
        <v>199</v>
      </c>
    </row>
    <row r="68" spans="1:21" x14ac:dyDescent="0.2">
      <c r="A68" s="19">
        <v>66</v>
      </c>
      <c r="B68" s="19" t="s">
        <v>32</v>
      </c>
      <c r="C68" s="20">
        <v>44842</v>
      </c>
      <c r="D68" s="19" t="s">
        <v>33</v>
      </c>
      <c r="E68" s="21"/>
      <c r="F68" s="19" t="s">
        <v>206</v>
      </c>
      <c r="G68" s="19" t="s">
        <v>35</v>
      </c>
      <c r="H68" s="19" t="s">
        <v>36</v>
      </c>
      <c r="I68" s="19" t="s">
        <v>207</v>
      </c>
      <c r="J68" s="19" t="s">
        <v>38</v>
      </c>
      <c r="K68" s="22">
        <f>IF(L68=0,0,L68/LOOKUP(C68,Settings!$F$5:$F$20,Settings!$G$5:$G$20))</f>
        <v>108597.28506787331</v>
      </c>
      <c r="L68" s="23">
        <v>1200000000</v>
      </c>
      <c r="M68" s="22">
        <f>IF(N68=0,0,N68/LOOKUP(C68,Settings!$F$5:$F$20,Settings!$G$5:$G$20))</f>
        <v>7720.1950226244344</v>
      </c>
      <c r="N68" s="23">
        <v>85308155</v>
      </c>
      <c r="O68" s="24">
        <f t="shared" si="2"/>
        <v>100877.09004524887</v>
      </c>
      <c r="P68" s="24">
        <f t="shared" si="3"/>
        <v>1114691845</v>
      </c>
      <c r="Q68" s="19" t="s">
        <v>28</v>
      </c>
      <c r="R68" s="19" t="s">
        <v>195</v>
      </c>
      <c r="S68" s="20">
        <v>44857</v>
      </c>
      <c r="T68" s="19" t="s">
        <v>191</v>
      </c>
      <c r="U68" s="19" t="s">
        <v>208</v>
      </c>
    </row>
    <row r="69" spans="1:21" x14ac:dyDescent="0.2">
      <c r="A69" s="13">
        <v>67</v>
      </c>
      <c r="B69" s="13" t="s">
        <v>41</v>
      </c>
      <c r="C69" s="14">
        <v>44858</v>
      </c>
      <c r="D69" s="13" t="s">
        <v>42</v>
      </c>
      <c r="E69" s="15"/>
      <c r="F69" s="13" t="s">
        <v>209</v>
      </c>
      <c r="G69" s="13" t="s">
        <v>44</v>
      </c>
      <c r="H69" s="13" t="s">
        <v>45</v>
      </c>
      <c r="I69" s="13" t="s">
        <v>204</v>
      </c>
      <c r="J69" s="13" t="s">
        <v>47</v>
      </c>
      <c r="K69" s="16">
        <f>IF(L69=0,0,L69/LOOKUP(C69,Settings!$F$5:$F$20,Settings!$G$5:$G$20))</f>
        <v>58823.529411764706</v>
      </c>
      <c r="L69" s="17">
        <v>650000000</v>
      </c>
      <c r="M69" s="16">
        <f>IF(N69=0,0,N69/LOOKUP(C69,Settings!$F$5:$F$20,Settings!$G$5:$G$20))</f>
        <v>899.85900452488693</v>
      </c>
      <c r="N69" s="17">
        <v>9943442</v>
      </c>
      <c r="O69" s="18">
        <f t="shared" si="2"/>
        <v>57923.670407239821</v>
      </c>
      <c r="P69" s="18">
        <f t="shared" si="3"/>
        <v>640056558</v>
      </c>
      <c r="Q69" s="13" t="s">
        <v>202</v>
      </c>
      <c r="R69" s="13" t="s">
        <v>210</v>
      </c>
      <c r="S69" s="14">
        <v>44868</v>
      </c>
      <c r="T69" s="13" t="s">
        <v>30</v>
      </c>
      <c r="U69" s="15"/>
    </row>
    <row r="70" spans="1:21" x14ac:dyDescent="0.2">
      <c r="A70" s="19">
        <v>68</v>
      </c>
      <c r="B70" s="19" t="s">
        <v>41</v>
      </c>
      <c r="C70" s="20">
        <v>44900</v>
      </c>
      <c r="D70" s="19" t="s">
        <v>42</v>
      </c>
      <c r="E70" s="21"/>
      <c r="F70" s="19" t="s">
        <v>211</v>
      </c>
      <c r="G70" s="19" t="s">
        <v>44</v>
      </c>
      <c r="H70" s="19" t="s">
        <v>45</v>
      </c>
      <c r="I70" s="19" t="s">
        <v>212</v>
      </c>
      <c r="J70" s="19" t="s">
        <v>47</v>
      </c>
      <c r="K70" s="22">
        <f>IF(L70=0,0,L70/LOOKUP(C70,Settings!$F$5:$F$20,Settings!$G$5:$G$20))</f>
        <v>58823.529411764706</v>
      </c>
      <c r="L70" s="23">
        <v>650000000</v>
      </c>
      <c r="M70" s="22">
        <f>IF(N70=0,0,N70/LOOKUP(C70,Settings!$F$5:$F$20,Settings!$G$5:$G$20))</f>
        <v>4366.7151131221717</v>
      </c>
      <c r="N70" s="23">
        <v>48252202</v>
      </c>
      <c r="O70" s="24">
        <f t="shared" si="2"/>
        <v>54456.814298642537</v>
      </c>
      <c r="P70" s="24">
        <f t="shared" si="3"/>
        <v>601747798</v>
      </c>
      <c r="Q70" s="19" t="s">
        <v>213</v>
      </c>
      <c r="R70" s="19" t="s">
        <v>195</v>
      </c>
      <c r="S70" s="20">
        <v>44915</v>
      </c>
      <c r="T70" s="19" t="s">
        <v>191</v>
      </c>
      <c r="U70" s="19" t="s">
        <v>214</v>
      </c>
    </row>
    <row r="71" spans="1:21" x14ac:dyDescent="0.2">
      <c r="A71" s="13">
        <v>69</v>
      </c>
      <c r="B71" s="13" t="s">
        <v>50</v>
      </c>
      <c r="C71" s="14">
        <v>44925</v>
      </c>
      <c r="D71" s="13" t="s">
        <v>51</v>
      </c>
      <c r="E71" s="15"/>
      <c r="F71" s="13" t="s">
        <v>209</v>
      </c>
      <c r="G71" s="13" t="s">
        <v>53</v>
      </c>
      <c r="H71" s="13" t="s">
        <v>25</v>
      </c>
      <c r="I71" s="13" t="s">
        <v>215</v>
      </c>
      <c r="J71" s="13" t="s">
        <v>55</v>
      </c>
      <c r="K71" s="16">
        <f>IF(L71=0,0,L71/LOOKUP(C71,Settings!$F$5:$F$20,Settings!$G$5:$G$20))</f>
        <v>38009.049773755658</v>
      </c>
      <c r="L71" s="17">
        <v>420000000</v>
      </c>
      <c r="M71" s="16">
        <f>IF(N71=0,0,N71/LOOKUP(C71,Settings!$F$5:$F$20,Settings!$G$5:$G$20))</f>
        <v>833.07348416289597</v>
      </c>
      <c r="N71" s="17">
        <v>9205462</v>
      </c>
      <c r="O71" s="18">
        <f t="shared" si="2"/>
        <v>37175.976289592763</v>
      </c>
      <c r="P71" s="18">
        <f t="shared" si="3"/>
        <v>410794538</v>
      </c>
      <c r="Q71" s="13" t="s">
        <v>202</v>
      </c>
      <c r="R71" s="13" t="s">
        <v>210</v>
      </c>
      <c r="S71" s="14">
        <v>44935</v>
      </c>
      <c r="T71" s="13" t="s">
        <v>30</v>
      </c>
      <c r="U71" s="15"/>
    </row>
    <row r="72" spans="1:21" x14ac:dyDescent="0.2">
      <c r="A72" s="19">
        <v>70</v>
      </c>
      <c r="B72" s="19" t="s">
        <v>50</v>
      </c>
      <c r="C72" s="20">
        <v>44950</v>
      </c>
      <c r="D72" s="19" t="s">
        <v>51</v>
      </c>
      <c r="E72" s="21"/>
      <c r="F72" s="19" t="s">
        <v>193</v>
      </c>
      <c r="G72" s="19" t="s">
        <v>53</v>
      </c>
      <c r="H72" s="19" t="s">
        <v>25</v>
      </c>
      <c r="I72" s="19" t="s">
        <v>212</v>
      </c>
      <c r="J72" s="19" t="s">
        <v>55</v>
      </c>
      <c r="K72" s="22">
        <f>IF(L72=0,0,L72/LOOKUP(C72,Settings!$F$5:$F$20,Settings!$G$5:$G$20))</f>
        <v>37500</v>
      </c>
      <c r="L72" s="23">
        <v>420000000</v>
      </c>
      <c r="M72" s="22">
        <f>IF(N72=0,0,N72/LOOKUP(C72,Settings!$F$5:$F$20,Settings!$G$5:$G$20))</f>
        <v>2542.0915178571427</v>
      </c>
      <c r="N72" s="23">
        <v>28471425</v>
      </c>
      <c r="O72" s="24">
        <f t="shared" si="2"/>
        <v>34957.908482142855</v>
      </c>
      <c r="P72" s="24">
        <f t="shared" si="3"/>
        <v>391528575</v>
      </c>
      <c r="Q72" s="19" t="s">
        <v>202</v>
      </c>
      <c r="R72" s="19" t="s">
        <v>195</v>
      </c>
      <c r="S72" s="20">
        <v>44965</v>
      </c>
      <c r="T72" s="19" t="s">
        <v>30</v>
      </c>
      <c r="U72" s="19" t="s">
        <v>214</v>
      </c>
    </row>
    <row r="73" spans="1:21" x14ac:dyDescent="0.2">
      <c r="A73" s="13">
        <v>71</v>
      </c>
      <c r="B73" s="13" t="s">
        <v>50</v>
      </c>
      <c r="C73" s="14">
        <v>44955</v>
      </c>
      <c r="D73" s="13" t="s">
        <v>51</v>
      </c>
      <c r="E73" s="15"/>
      <c r="F73" s="13" t="s">
        <v>216</v>
      </c>
      <c r="G73" s="13" t="s">
        <v>53</v>
      </c>
      <c r="H73" s="13" t="s">
        <v>25</v>
      </c>
      <c r="I73" s="13" t="s">
        <v>212</v>
      </c>
      <c r="J73" s="13" t="s">
        <v>55</v>
      </c>
      <c r="K73" s="16">
        <f>IF(L73=0,0,L73/LOOKUP(C73,Settings!$F$5:$F$20,Settings!$G$5:$G$20))</f>
        <v>37500</v>
      </c>
      <c r="L73" s="17">
        <v>420000000</v>
      </c>
      <c r="M73" s="16">
        <f>IF(N73=0,0,N73/LOOKUP(C73,Settings!$F$5:$F$20,Settings!$G$5:$G$20))</f>
        <v>1873.8758928571428</v>
      </c>
      <c r="N73" s="17">
        <v>20987410</v>
      </c>
      <c r="O73" s="18">
        <f t="shared" si="2"/>
        <v>35626.124107142859</v>
      </c>
      <c r="P73" s="18">
        <f t="shared" si="3"/>
        <v>399012590</v>
      </c>
      <c r="Q73" s="13" t="s">
        <v>202</v>
      </c>
      <c r="R73" s="13" t="s">
        <v>195</v>
      </c>
      <c r="S73" s="14">
        <v>44970</v>
      </c>
      <c r="T73" s="13" t="s">
        <v>30</v>
      </c>
      <c r="U73" s="13" t="s">
        <v>214</v>
      </c>
    </row>
    <row r="74" spans="1:21" x14ac:dyDescent="0.2">
      <c r="A74" s="19">
        <v>72</v>
      </c>
      <c r="B74" s="19" t="s">
        <v>50</v>
      </c>
      <c r="C74" s="20">
        <v>44958</v>
      </c>
      <c r="D74" s="19" t="s">
        <v>51</v>
      </c>
      <c r="E74" s="21"/>
      <c r="F74" s="19" t="s">
        <v>205</v>
      </c>
      <c r="G74" s="19" t="s">
        <v>53</v>
      </c>
      <c r="H74" s="19" t="s">
        <v>25</v>
      </c>
      <c r="I74" s="19" t="s">
        <v>194</v>
      </c>
      <c r="J74" s="19" t="s">
        <v>55</v>
      </c>
      <c r="K74" s="22">
        <f>IF(L74=0,0,L74/LOOKUP(C74,Settings!$F$5:$F$20,Settings!$G$5:$G$20))</f>
        <v>37500</v>
      </c>
      <c r="L74" s="23">
        <v>420000000</v>
      </c>
      <c r="M74" s="22">
        <f>IF(N74=0,0,N74/LOOKUP(C74,Settings!$F$5:$F$20,Settings!$G$5:$G$20))</f>
        <v>1916.5499107142857</v>
      </c>
      <c r="N74" s="23">
        <v>21465359</v>
      </c>
      <c r="O74" s="24">
        <f t="shared" si="2"/>
        <v>35583.450089285718</v>
      </c>
      <c r="P74" s="24">
        <f t="shared" si="3"/>
        <v>398534641</v>
      </c>
      <c r="Q74" s="19" t="s">
        <v>202</v>
      </c>
      <c r="R74" s="19" t="s">
        <v>195</v>
      </c>
      <c r="S74" s="20">
        <v>44973</v>
      </c>
      <c r="T74" s="19" t="s">
        <v>191</v>
      </c>
      <c r="U74" s="19" t="s">
        <v>196</v>
      </c>
    </row>
    <row r="75" spans="1:21" x14ac:dyDescent="0.2">
      <c r="A75" s="13">
        <v>73</v>
      </c>
      <c r="B75" s="13" t="s">
        <v>59</v>
      </c>
      <c r="C75" s="14">
        <v>44979</v>
      </c>
      <c r="D75" s="13" t="s">
        <v>60</v>
      </c>
      <c r="E75" s="15"/>
      <c r="F75" s="13" t="s">
        <v>211</v>
      </c>
      <c r="G75" s="13" t="s">
        <v>62</v>
      </c>
      <c r="H75" s="13" t="s">
        <v>36</v>
      </c>
      <c r="I75" s="13" t="s">
        <v>198</v>
      </c>
      <c r="J75" s="13" t="s">
        <v>64</v>
      </c>
      <c r="K75" s="16">
        <f>IF(L75=0,0,L75/LOOKUP(C75,Settings!$F$5:$F$20,Settings!$G$5:$G$20))</f>
        <v>33928.571428571428</v>
      </c>
      <c r="L75" s="17">
        <v>380000000</v>
      </c>
      <c r="M75" s="16">
        <f>IF(N75=0,0,N75/LOOKUP(C75,Settings!$F$5:$F$20,Settings!$G$5:$G$20))</f>
        <v>1286.1604464285715</v>
      </c>
      <c r="N75" s="17">
        <v>14404997</v>
      </c>
      <c r="O75" s="18">
        <f t="shared" si="2"/>
        <v>32642.410982142857</v>
      </c>
      <c r="P75" s="18">
        <f t="shared" si="3"/>
        <v>365595003</v>
      </c>
      <c r="Q75" s="13" t="s">
        <v>202</v>
      </c>
      <c r="R75" s="13" t="s">
        <v>195</v>
      </c>
      <c r="S75" s="14">
        <v>44994</v>
      </c>
      <c r="T75" s="13" t="s">
        <v>191</v>
      </c>
      <c r="U75" s="13" t="s">
        <v>199</v>
      </c>
    </row>
    <row r="76" spans="1:21" x14ac:dyDescent="0.2">
      <c r="A76" s="19">
        <v>74</v>
      </c>
      <c r="B76" s="19" t="s">
        <v>59</v>
      </c>
      <c r="C76" s="20">
        <v>44987</v>
      </c>
      <c r="D76" s="19" t="s">
        <v>60</v>
      </c>
      <c r="E76" s="21"/>
      <c r="F76" s="19" t="s">
        <v>209</v>
      </c>
      <c r="G76" s="19" t="s">
        <v>62</v>
      </c>
      <c r="H76" s="19" t="s">
        <v>36</v>
      </c>
      <c r="I76" s="19" t="s">
        <v>215</v>
      </c>
      <c r="J76" s="19" t="s">
        <v>64</v>
      </c>
      <c r="K76" s="22">
        <f>IF(L76=0,0,L76/LOOKUP(C76,Settings!$F$5:$F$20,Settings!$G$5:$G$20))</f>
        <v>33928.571428571428</v>
      </c>
      <c r="L76" s="23">
        <v>380000000</v>
      </c>
      <c r="M76" s="22">
        <f>IF(N76=0,0,N76/LOOKUP(C76,Settings!$F$5:$F$20,Settings!$G$5:$G$20))</f>
        <v>683.77116071428577</v>
      </c>
      <c r="N76" s="23">
        <v>7658237</v>
      </c>
      <c r="O76" s="24">
        <f t="shared" si="2"/>
        <v>33244.800267857143</v>
      </c>
      <c r="P76" s="24">
        <f t="shared" si="3"/>
        <v>372341763</v>
      </c>
      <c r="Q76" s="19" t="s">
        <v>202</v>
      </c>
      <c r="R76" s="19" t="s">
        <v>210</v>
      </c>
      <c r="S76" s="20">
        <v>44997</v>
      </c>
      <c r="T76" s="19" t="s">
        <v>30</v>
      </c>
      <c r="U76" s="21"/>
    </row>
    <row r="77" spans="1:21" x14ac:dyDescent="0.2">
      <c r="A77" s="13">
        <v>75</v>
      </c>
      <c r="B77" s="13" t="s">
        <v>59</v>
      </c>
      <c r="C77" s="14">
        <v>45004</v>
      </c>
      <c r="D77" s="13" t="s">
        <v>60</v>
      </c>
      <c r="E77" s="15"/>
      <c r="F77" s="13" t="s">
        <v>216</v>
      </c>
      <c r="G77" s="13" t="s">
        <v>62</v>
      </c>
      <c r="H77" s="13" t="s">
        <v>36</v>
      </c>
      <c r="I77" s="13" t="s">
        <v>194</v>
      </c>
      <c r="J77" s="13" t="s">
        <v>64</v>
      </c>
      <c r="K77" s="16">
        <f>IF(L77=0,0,L77/LOOKUP(C77,Settings!$F$5:$F$20,Settings!$G$5:$G$20))</f>
        <v>33928.571428571428</v>
      </c>
      <c r="L77" s="17">
        <v>380000000</v>
      </c>
      <c r="M77" s="16">
        <f>IF(N77=0,0,N77/LOOKUP(C77,Settings!$F$5:$F$20,Settings!$G$5:$G$20))</f>
        <v>2566.0650000000001</v>
      </c>
      <c r="N77" s="17">
        <v>28739928</v>
      </c>
      <c r="O77" s="18">
        <f t="shared" si="2"/>
        <v>31362.506428571429</v>
      </c>
      <c r="P77" s="18">
        <f t="shared" si="3"/>
        <v>351260072</v>
      </c>
      <c r="Q77" s="13" t="s">
        <v>213</v>
      </c>
      <c r="R77" s="13" t="s">
        <v>195</v>
      </c>
      <c r="S77" s="14">
        <v>45019</v>
      </c>
      <c r="T77" s="13" t="s">
        <v>191</v>
      </c>
      <c r="U77" s="13" t="s">
        <v>196</v>
      </c>
    </row>
    <row r="78" spans="1:21" x14ac:dyDescent="0.2">
      <c r="A78" s="19">
        <v>76</v>
      </c>
      <c r="B78" s="19" t="s">
        <v>59</v>
      </c>
      <c r="C78" s="20">
        <v>45018</v>
      </c>
      <c r="D78" s="19" t="s">
        <v>60</v>
      </c>
      <c r="E78" s="21"/>
      <c r="F78" s="19" t="s">
        <v>205</v>
      </c>
      <c r="G78" s="19" t="s">
        <v>62</v>
      </c>
      <c r="H78" s="19" t="s">
        <v>36</v>
      </c>
      <c r="I78" s="19" t="s">
        <v>207</v>
      </c>
      <c r="J78" s="19" t="s">
        <v>64</v>
      </c>
      <c r="K78" s="22">
        <f>IF(L78=0,0,L78/LOOKUP(C78,Settings!$F$5:$F$20,Settings!$G$5:$G$20))</f>
        <v>33480.176211453741</v>
      </c>
      <c r="L78" s="23">
        <v>380000000</v>
      </c>
      <c r="M78" s="22">
        <f>IF(N78=0,0,N78/LOOKUP(C78,Settings!$F$5:$F$20,Settings!$G$5:$G$20))</f>
        <v>2485.5488986784139</v>
      </c>
      <c r="N78" s="23">
        <v>28210980</v>
      </c>
      <c r="O78" s="24">
        <f t="shared" si="2"/>
        <v>30994.627312775327</v>
      </c>
      <c r="P78" s="24">
        <f t="shared" si="3"/>
        <v>351789020</v>
      </c>
      <c r="Q78" s="19" t="s">
        <v>28</v>
      </c>
      <c r="R78" s="19" t="s">
        <v>195</v>
      </c>
      <c r="S78" s="20">
        <v>45033</v>
      </c>
      <c r="T78" s="19" t="s">
        <v>191</v>
      </c>
      <c r="U78" s="19" t="s">
        <v>208</v>
      </c>
    </row>
    <row r="79" spans="1:21" x14ac:dyDescent="0.2">
      <c r="A79" s="13">
        <v>77</v>
      </c>
      <c r="B79" s="13" t="s">
        <v>68</v>
      </c>
      <c r="C79" s="14">
        <v>45035</v>
      </c>
      <c r="D79" s="13" t="s">
        <v>69</v>
      </c>
      <c r="E79" s="15"/>
      <c r="F79" s="13" t="s">
        <v>200</v>
      </c>
      <c r="G79" s="13" t="s">
        <v>71</v>
      </c>
      <c r="H79" s="13" t="s">
        <v>72</v>
      </c>
      <c r="I79" s="13" t="s">
        <v>201</v>
      </c>
      <c r="J79" s="13" t="s">
        <v>74</v>
      </c>
      <c r="K79" s="16">
        <f>IF(L79=0,0,L79/LOOKUP(C79,Settings!$F$5:$F$20,Settings!$G$5:$G$20))</f>
        <v>83700.440528634368</v>
      </c>
      <c r="L79" s="17">
        <v>950000000</v>
      </c>
      <c r="M79" s="16">
        <f>IF(N79=0,0,N79/LOOKUP(C79,Settings!$F$5:$F$20,Settings!$G$5:$G$20))</f>
        <v>1941.4330396475771</v>
      </c>
      <c r="N79" s="17">
        <v>22035265</v>
      </c>
      <c r="O79" s="18">
        <f t="shared" si="2"/>
        <v>81759.007488986797</v>
      </c>
      <c r="P79" s="18">
        <f t="shared" si="3"/>
        <v>927964735</v>
      </c>
      <c r="Q79" s="13" t="s">
        <v>202</v>
      </c>
      <c r="R79" s="13" t="s">
        <v>203</v>
      </c>
      <c r="S79" s="14">
        <v>45045</v>
      </c>
      <c r="T79" s="13" t="s">
        <v>30</v>
      </c>
      <c r="U79" s="15"/>
    </row>
    <row r="80" spans="1:21" x14ac:dyDescent="0.2">
      <c r="A80" s="19">
        <v>78</v>
      </c>
      <c r="B80" s="19" t="s">
        <v>68</v>
      </c>
      <c r="C80" s="20">
        <v>45041</v>
      </c>
      <c r="D80" s="19" t="s">
        <v>69</v>
      </c>
      <c r="E80" s="21"/>
      <c r="F80" s="19" t="s">
        <v>211</v>
      </c>
      <c r="G80" s="19" t="s">
        <v>71</v>
      </c>
      <c r="H80" s="19" t="s">
        <v>72</v>
      </c>
      <c r="I80" s="19" t="s">
        <v>217</v>
      </c>
      <c r="J80" s="19" t="s">
        <v>74</v>
      </c>
      <c r="K80" s="22">
        <f>IF(L80=0,0,L80/LOOKUP(C80,Settings!$F$5:$F$20,Settings!$G$5:$G$20))</f>
        <v>83700.440528634368</v>
      </c>
      <c r="L80" s="23">
        <v>950000000</v>
      </c>
      <c r="M80" s="22">
        <f>IF(N80=0,0,N80/LOOKUP(C80,Settings!$F$5:$F$20,Settings!$G$5:$G$20))</f>
        <v>5926.0884581497794</v>
      </c>
      <c r="N80" s="23">
        <v>67261104</v>
      </c>
      <c r="O80" s="24">
        <f t="shared" si="2"/>
        <v>77774.352070484587</v>
      </c>
      <c r="P80" s="24">
        <f t="shared" si="3"/>
        <v>882738896</v>
      </c>
      <c r="Q80" s="19" t="s">
        <v>213</v>
      </c>
      <c r="R80" s="19" t="s">
        <v>195</v>
      </c>
      <c r="S80" s="20">
        <v>45056</v>
      </c>
      <c r="T80" s="19" t="s">
        <v>30</v>
      </c>
      <c r="U80" s="19" t="s">
        <v>218</v>
      </c>
    </row>
    <row r="81" spans="1:21" x14ac:dyDescent="0.2">
      <c r="A81" s="13">
        <v>79</v>
      </c>
      <c r="B81" s="13" t="s">
        <v>68</v>
      </c>
      <c r="C81" s="14">
        <v>45043</v>
      </c>
      <c r="D81" s="13" t="s">
        <v>69</v>
      </c>
      <c r="E81" s="15"/>
      <c r="F81" s="13" t="s">
        <v>197</v>
      </c>
      <c r="G81" s="13" t="s">
        <v>71</v>
      </c>
      <c r="H81" s="13" t="s">
        <v>72</v>
      </c>
      <c r="I81" s="13" t="s">
        <v>198</v>
      </c>
      <c r="J81" s="13" t="s">
        <v>74</v>
      </c>
      <c r="K81" s="16">
        <f>IF(L81=0,0,L81/LOOKUP(C81,Settings!$F$5:$F$20,Settings!$G$5:$G$20))</f>
        <v>83700.440528634368</v>
      </c>
      <c r="L81" s="17">
        <v>950000000</v>
      </c>
      <c r="M81" s="16">
        <f>IF(N81=0,0,N81/LOOKUP(C81,Settings!$F$5:$F$20,Settings!$G$5:$G$20))</f>
        <v>3513.1263436123349</v>
      </c>
      <c r="N81" s="17">
        <v>39873984</v>
      </c>
      <c r="O81" s="18">
        <f t="shared" si="2"/>
        <v>80187.314185022027</v>
      </c>
      <c r="P81" s="18">
        <f t="shared" si="3"/>
        <v>910126016</v>
      </c>
      <c r="Q81" s="13" t="s">
        <v>202</v>
      </c>
      <c r="R81" s="13" t="s">
        <v>195</v>
      </c>
      <c r="S81" s="14">
        <v>45058</v>
      </c>
      <c r="T81" s="13" t="s">
        <v>30</v>
      </c>
      <c r="U81" s="13" t="s">
        <v>199</v>
      </c>
    </row>
    <row r="82" spans="1:21" x14ac:dyDescent="0.2">
      <c r="A82" s="19">
        <v>80</v>
      </c>
      <c r="B82" s="19" t="s">
        <v>68</v>
      </c>
      <c r="C82" s="20">
        <v>45085</v>
      </c>
      <c r="D82" s="19" t="s">
        <v>69</v>
      </c>
      <c r="E82" s="21"/>
      <c r="F82" s="19" t="s">
        <v>193</v>
      </c>
      <c r="G82" s="19" t="s">
        <v>71</v>
      </c>
      <c r="H82" s="19" t="s">
        <v>72</v>
      </c>
      <c r="I82" s="19" t="s">
        <v>219</v>
      </c>
      <c r="J82" s="19" t="s">
        <v>74</v>
      </c>
      <c r="K82" s="22">
        <f>IF(L82=0,0,L82/LOOKUP(C82,Settings!$F$5:$F$20,Settings!$G$5:$G$20))</f>
        <v>83700.440528634368</v>
      </c>
      <c r="L82" s="23">
        <v>950000000</v>
      </c>
      <c r="M82" s="22">
        <f>IF(N82=0,0,N82/LOOKUP(C82,Settings!$F$5:$F$20,Settings!$G$5:$G$20))</f>
        <v>5017.6094273127756</v>
      </c>
      <c r="N82" s="23">
        <v>56949867</v>
      </c>
      <c r="O82" s="24">
        <f t="shared" si="2"/>
        <v>78682.831101321586</v>
      </c>
      <c r="P82" s="24">
        <f t="shared" si="3"/>
        <v>893050133</v>
      </c>
      <c r="Q82" s="19" t="s">
        <v>28</v>
      </c>
      <c r="R82" s="19" t="s">
        <v>195</v>
      </c>
      <c r="S82" s="20">
        <v>45100</v>
      </c>
      <c r="T82" s="19" t="s">
        <v>30</v>
      </c>
      <c r="U82" s="19" t="s">
        <v>220</v>
      </c>
    </row>
    <row r="83" spans="1:21" x14ac:dyDescent="0.2">
      <c r="A83" s="13">
        <v>81</v>
      </c>
      <c r="B83" s="13" t="s">
        <v>77</v>
      </c>
      <c r="C83" s="14">
        <v>45105</v>
      </c>
      <c r="D83" s="13" t="s">
        <v>78</v>
      </c>
      <c r="E83" s="15"/>
      <c r="F83" s="13" t="s">
        <v>200</v>
      </c>
      <c r="G83" s="13" t="s">
        <v>80</v>
      </c>
      <c r="H83" s="13" t="s">
        <v>45</v>
      </c>
      <c r="I83" s="13" t="s">
        <v>204</v>
      </c>
      <c r="J83" s="13" t="s">
        <v>82</v>
      </c>
      <c r="K83" s="16">
        <f>IF(L83=0,0,L83/LOOKUP(C83,Settings!$F$5:$F$20,Settings!$G$5:$G$20))</f>
        <v>132158.59030837004</v>
      </c>
      <c r="L83" s="17">
        <v>1500000000</v>
      </c>
      <c r="M83" s="16">
        <f>IF(N83=0,0,N83/LOOKUP(C83,Settings!$F$5:$F$20,Settings!$G$5:$G$20))</f>
        <v>1377.1829955947137</v>
      </c>
      <c r="N83" s="17">
        <v>15631027</v>
      </c>
      <c r="O83" s="18">
        <f t="shared" si="2"/>
        <v>130781.40731277532</v>
      </c>
      <c r="P83" s="18">
        <f t="shared" si="3"/>
        <v>1484368973</v>
      </c>
      <c r="Q83" s="13" t="s">
        <v>202</v>
      </c>
      <c r="R83" s="13" t="s">
        <v>203</v>
      </c>
      <c r="S83" s="14">
        <v>45115</v>
      </c>
      <c r="T83" s="13" t="s">
        <v>30</v>
      </c>
      <c r="U83" s="15"/>
    </row>
    <row r="84" spans="1:21" x14ac:dyDescent="0.2">
      <c r="A84" s="19">
        <v>82</v>
      </c>
      <c r="B84" s="19" t="s">
        <v>77</v>
      </c>
      <c r="C84" s="20">
        <v>45128</v>
      </c>
      <c r="D84" s="19" t="s">
        <v>78</v>
      </c>
      <c r="E84" s="21"/>
      <c r="F84" s="19" t="s">
        <v>211</v>
      </c>
      <c r="G84" s="19" t="s">
        <v>80</v>
      </c>
      <c r="H84" s="19" t="s">
        <v>45</v>
      </c>
      <c r="I84" s="19" t="s">
        <v>219</v>
      </c>
      <c r="J84" s="19" t="s">
        <v>82</v>
      </c>
      <c r="K84" s="22">
        <f>IF(L84=0,0,L84/LOOKUP(C84,Settings!$F$5:$F$20,Settings!$G$5:$G$20))</f>
        <v>130434.78260869565</v>
      </c>
      <c r="L84" s="23">
        <v>1500000000</v>
      </c>
      <c r="M84" s="22">
        <f>IF(N84=0,0,N84/LOOKUP(C84,Settings!$F$5:$F$20,Settings!$G$5:$G$20))</f>
        <v>4702.2012173913045</v>
      </c>
      <c r="N84" s="23">
        <v>54075314</v>
      </c>
      <c r="O84" s="24">
        <f t="shared" si="2"/>
        <v>125732.58139130434</v>
      </c>
      <c r="P84" s="24">
        <f t="shared" si="3"/>
        <v>1445924686</v>
      </c>
      <c r="Q84" s="19" t="s">
        <v>202</v>
      </c>
      <c r="R84" s="19" t="s">
        <v>195</v>
      </c>
      <c r="S84" s="20">
        <v>45143</v>
      </c>
      <c r="T84" s="19" t="s">
        <v>30</v>
      </c>
      <c r="U84" s="19" t="s">
        <v>220</v>
      </c>
    </row>
    <row r="85" spans="1:21" x14ac:dyDescent="0.2">
      <c r="A85" s="13">
        <v>83</v>
      </c>
      <c r="B85" s="13" t="s">
        <v>77</v>
      </c>
      <c r="C85" s="14">
        <v>45138</v>
      </c>
      <c r="D85" s="13" t="s">
        <v>78</v>
      </c>
      <c r="E85" s="15"/>
      <c r="F85" s="13" t="s">
        <v>206</v>
      </c>
      <c r="G85" s="13" t="s">
        <v>80</v>
      </c>
      <c r="H85" s="13" t="s">
        <v>45</v>
      </c>
      <c r="I85" s="13" t="s">
        <v>212</v>
      </c>
      <c r="J85" s="13" t="s">
        <v>82</v>
      </c>
      <c r="K85" s="16">
        <f>IF(L85=0,0,L85/LOOKUP(C85,Settings!$F$5:$F$20,Settings!$G$5:$G$20))</f>
        <v>130434.78260869565</v>
      </c>
      <c r="L85" s="17">
        <v>1500000000</v>
      </c>
      <c r="M85" s="16">
        <f>IF(N85=0,0,N85/LOOKUP(C85,Settings!$F$5:$F$20,Settings!$G$5:$G$20))</f>
        <v>9971.1748695652168</v>
      </c>
      <c r="N85" s="17">
        <v>114668511</v>
      </c>
      <c r="O85" s="18">
        <f t="shared" si="2"/>
        <v>120463.60773913043</v>
      </c>
      <c r="P85" s="18">
        <f t="shared" si="3"/>
        <v>1385331489</v>
      </c>
      <c r="Q85" s="13" t="s">
        <v>213</v>
      </c>
      <c r="R85" s="13" t="s">
        <v>195</v>
      </c>
      <c r="S85" s="14">
        <v>45153</v>
      </c>
      <c r="T85" s="13" t="s">
        <v>30</v>
      </c>
      <c r="U85" s="13" t="s">
        <v>214</v>
      </c>
    </row>
    <row r="86" spans="1:21" x14ac:dyDescent="0.2">
      <c r="A86" s="19">
        <v>84</v>
      </c>
      <c r="B86" s="19" t="s">
        <v>77</v>
      </c>
      <c r="C86" s="20">
        <v>45145</v>
      </c>
      <c r="D86" s="19" t="s">
        <v>78</v>
      </c>
      <c r="E86" s="21"/>
      <c r="F86" s="19" t="s">
        <v>211</v>
      </c>
      <c r="G86" s="19" t="s">
        <v>80</v>
      </c>
      <c r="H86" s="19" t="s">
        <v>45</v>
      </c>
      <c r="I86" s="19" t="s">
        <v>198</v>
      </c>
      <c r="J86" s="19" t="s">
        <v>82</v>
      </c>
      <c r="K86" s="22">
        <f>IF(L86=0,0,L86/LOOKUP(C86,Settings!$F$5:$F$20,Settings!$G$5:$G$20))</f>
        <v>130434.78260869565</v>
      </c>
      <c r="L86" s="23">
        <v>1500000000</v>
      </c>
      <c r="M86" s="22">
        <f>IF(N86=0,0,N86/LOOKUP(C86,Settings!$F$5:$F$20,Settings!$G$5:$G$20))</f>
        <v>10403.147913043478</v>
      </c>
      <c r="N86" s="23">
        <v>119636201</v>
      </c>
      <c r="O86" s="24">
        <f t="shared" si="2"/>
        <v>120031.63469565217</v>
      </c>
      <c r="P86" s="24">
        <f t="shared" si="3"/>
        <v>1380363799</v>
      </c>
      <c r="Q86" s="19" t="s">
        <v>213</v>
      </c>
      <c r="R86" s="19" t="s">
        <v>195</v>
      </c>
      <c r="S86" s="20">
        <v>45160</v>
      </c>
      <c r="T86" s="19" t="s">
        <v>191</v>
      </c>
      <c r="U86" s="19" t="s">
        <v>199</v>
      </c>
    </row>
    <row r="87" spans="1:21" x14ac:dyDescent="0.2">
      <c r="A87" s="13">
        <v>85</v>
      </c>
      <c r="B87" s="13" t="s">
        <v>84</v>
      </c>
      <c r="C87" s="14">
        <v>45164</v>
      </c>
      <c r="D87" s="13" t="s">
        <v>85</v>
      </c>
      <c r="E87" s="15"/>
      <c r="F87" s="13" t="s">
        <v>205</v>
      </c>
      <c r="G87" s="13" t="s">
        <v>87</v>
      </c>
      <c r="H87" s="13" t="s">
        <v>25</v>
      </c>
      <c r="I87" s="13" t="s">
        <v>217</v>
      </c>
      <c r="J87" s="13" t="s">
        <v>89</v>
      </c>
      <c r="K87" s="16">
        <f>IF(L87=0,0,L87/LOOKUP(C87,Settings!$F$5:$F$20,Settings!$G$5:$G$20))</f>
        <v>47826.086956521736</v>
      </c>
      <c r="L87" s="17">
        <v>550000000</v>
      </c>
      <c r="M87" s="16">
        <f>IF(N87=0,0,N87/LOOKUP(C87,Settings!$F$5:$F$20,Settings!$G$5:$G$20))</f>
        <v>1575.5676521739131</v>
      </c>
      <c r="N87" s="17">
        <v>18119028</v>
      </c>
      <c r="O87" s="18">
        <f t="shared" si="2"/>
        <v>46250.519304347821</v>
      </c>
      <c r="P87" s="18">
        <f t="shared" si="3"/>
        <v>531880972</v>
      </c>
      <c r="Q87" s="13" t="s">
        <v>202</v>
      </c>
      <c r="R87" s="13" t="s">
        <v>195</v>
      </c>
      <c r="S87" s="14">
        <v>45179</v>
      </c>
      <c r="T87" s="13" t="s">
        <v>30</v>
      </c>
      <c r="U87" s="13" t="s">
        <v>218</v>
      </c>
    </row>
    <row r="88" spans="1:21" x14ac:dyDescent="0.2">
      <c r="A88" s="19">
        <v>86</v>
      </c>
      <c r="B88" s="19" t="s">
        <v>84</v>
      </c>
      <c r="C88" s="20">
        <v>45165</v>
      </c>
      <c r="D88" s="19" t="s">
        <v>85</v>
      </c>
      <c r="E88" s="21"/>
      <c r="F88" s="19" t="s">
        <v>209</v>
      </c>
      <c r="G88" s="19" t="s">
        <v>87</v>
      </c>
      <c r="H88" s="19" t="s">
        <v>25</v>
      </c>
      <c r="I88" s="19" t="s">
        <v>204</v>
      </c>
      <c r="J88" s="19" t="s">
        <v>89</v>
      </c>
      <c r="K88" s="22">
        <f>IF(L88=0,0,L88/LOOKUP(C88,Settings!$F$5:$F$20,Settings!$G$5:$G$20))</f>
        <v>47826.086956521736</v>
      </c>
      <c r="L88" s="23">
        <v>550000000</v>
      </c>
      <c r="M88" s="22">
        <f>IF(N88=0,0,N88/LOOKUP(C88,Settings!$F$5:$F$20,Settings!$G$5:$G$20))</f>
        <v>546.03739130434781</v>
      </c>
      <c r="N88" s="23">
        <v>6279430</v>
      </c>
      <c r="O88" s="24">
        <f t="shared" si="2"/>
        <v>47280.049565217385</v>
      </c>
      <c r="P88" s="24">
        <f t="shared" si="3"/>
        <v>543720570</v>
      </c>
      <c r="Q88" s="19" t="s">
        <v>202</v>
      </c>
      <c r="R88" s="19" t="s">
        <v>210</v>
      </c>
      <c r="S88" s="20">
        <v>45175</v>
      </c>
      <c r="T88" s="19" t="s">
        <v>30</v>
      </c>
      <c r="U88" s="21"/>
    </row>
    <row r="89" spans="1:21" x14ac:dyDescent="0.2">
      <c r="A89" s="13">
        <v>87</v>
      </c>
      <c r="B89" s="13" t="s">
        <v>92</v>
      </c>
      <c r="C89" s="14">
        <v>45231</v>
      </c>
      <c r="D89" s="13" t="s">
        <v>93</v>
      </c>
      <c r="E89" s="15"/>
      <c r="F89" s="13" t="s">
        <v>200</v>
      </c>
      <c r="G89" s="13" t="s">
        <v>95</v>
      </c>
      <c r="H89" s="13" t="s">
        <v>72</v>
      </c>
      <c r="I89" s="13" t="s">
        <v>201</v>
      </c>
      <c r="J89" s="13" t="s">
        <v>97</v>
      </c>
      <c r="K89" s="16">
        <f>IF(L89=0,0,L89/LOOKUP(C89,Settings!$F$5:$F$20,Settings!$G$5:$G$20))</f>
        <v>41025.641025641024</v>
      </c>
      <c r="L89" s="17">
        <v>480000000</v>
      </c>
      <c r="M89" s="16">
        <f>IF(N89=0,0,N89/LOOKUP(C89,Settings!$F$5:$F$20,Settings!$G$5:$G$20))</f>
        <v>1054.0466666666666</v>
      </c>
      <c r="N89" s="17">
        <v>12332346</v>
      </c>
      <c r="O89" s="18">
        <f t="shared" si="2"/>
        <v>39971.594358974355</v>
      </c>
      <c r="P89" s="18">
        <f t="shared" si="3"/>
        <v>467667654</v>
      </c>
      <c r="Q89" s="13" t="s">
        <v>202</v>
      </c>
      <c r="R89" s="13" t="s">
        <v>203</v>
      </c>
      <c r="S89" s="14">
        <v>45241</v>
      </c>
      <c r="T89" s="13" t="s">
        <v>30</v>
      </c>
      <c r="U89" s="15"/>
    </row>
    <row r="90" spans="1:21" x14ac:dyDescent="0.2">
      <c r="A90" s="19">
        <v>88</v>
      </c>
      <c r="B90" s="19" t="s">
        <v>92</v>
      </c>
      <c r="C90" s="20">
        <v>45263</v>
      </c>
      <c r="D90" s="19" t="s">
        <v>93</v>
      </c>
      <c r="E90" s="21"/>
      <c r="F90" s="19" t="s">
        <v>205</v>
      </c>
      <c r="G90" s="19" t="s">
        <v>95</v>
      </c>
      <c r="H90" s="19" t="s">
        <v>72</v>
      </c>
      <c r="I90" s="19" t="s">
        <v>194</v>
      </c>
      <c r="J90" s="19" t="s">
        <v>97</v>
      </c>
      <c r="K90" s="22">
        <f>IF(L90=0,0,L90/LOOKUP(C90,Settings!$F$5:$F$20,Settings!$G$5:$G$20))</f>
        <v>41025.641025641024</v>
      </c>
      <c r="L90" s="23">
        <v>480000000</v>
      </c>
      <c r="M90" s="22">
        <f>IF(N90=0,0,N90/LOOKUP(C90,Settings!$F$5:$F$20,Settings!$G$5:$G$20))</f>
        <v>3149.7727350427349</v>
      </c>
      <c r="N90" s="23">
        <v>36852341</v>
      </c>
      <c r="O90" s="24">
        <f t="shared" si="2"/>
        <v>37875.868290598286</v>
      </c>
      <c r="P90" s="24">
        <f t="shared" si="3"/>
        <v>443147659</v>
      </c>
      <c r="Q90" s="19" t="s">
        <v>213</v>
      </c>
      <c r="R90" s="19" t="s">
        <v>195</v>
      </c>
      <c r="S90" s="20">
        <v>45278</v>
      </c>
      <c r="T90" s="19" t="s">
        <v>191</v>
      </c>
      <c r="U90" s="19" t="s">
        <v>196</v>
      </c>
    </row>
    <row r="91" spans="1:21" x14ac:dyDescent="0.2">
      <c r="A91" s="13">
        <v>89</v>
      </c>
      <c r="B91" s="13" t="s">
        <v>101</v>
      </c>
      <c r="C91" s="14">
        <v>45294</v>
      </c>
      <c r="D91" s="13" t="s">
        <v>102</v>
      </c>
      <c r="E91" s="15"/>
      <c r="F91" s="13" t="s">
        <v>200</v>
      </c>
      <c r="G91" s="13" t="s">
        <v>104</v>
      </c>
      <c r="H91" s="13" t="s">
        <v>36</v>
      </c>
      <c r="I91" s="13" t="s">
        <v>201</v>
      </c>
      <c r="J91" s="13" t="s">
        <v>106</v>
      </c>
      <c r="K91" s="16">
        <f>IF(L91=0,0,L91/LOOKUP(C91,Settings!$F$5:$F$20,Settings!$G$5:$G$20))</f>
        <v>60504.201680672268</v>
      </c>
      <c r="L91" s="17">
        <v>720000000</v>
      </c>
      <c r="M91" s="16">
        <f>IF(N91=0,0,N91/LOOKUP(C91,Settings!$F$5:$F$20,Settings!$G$5:$G$20))</f>
        <v>1395.7780672268907</v>
      </c>
      <c r="N91" s="17">
        <v>16609759</v>
      </c>
      <c r="O91" s="18">
        <f t="shared" si="2"/>
        <v>59108.423613445375</v>
      </c>
      <c r="P91" s="18">
        <f t="shared" si="3"/>
        <v>703390241</v>
      </c>
      <c r="Q91" s="13" t="s">
        <v>202</v>
      </c>
      <c r="R91" s="13" t="s">
        <v>203</v>
      </c>
      <c r="S91" s="14">
        <v>45304</v>
      </c>
      <c r="T91" s="13" t="s">
        <v>30</v>
      </c>
      <c r="U91" s="15"/>
    </row>
    <row r="92" spans="1:21" x14ac:dyDescent="0.2">
      <c r="A92" s="19">
        <v>90</v>
      </c>
      <c r="B92" s="19" t="s">
        <v>101</v>
      </c>
      <c r="C92" s="20">
        <v>45320</v>
      </c>
      <c r="D92" s="19" t="s">
        <v>102</v>
      </c>
      <c r="E92" s="21"/>
      <c r="F92" s="19" t="s">
        <v>197</v>
      </c>
      <c r="G92" s="19" t="s">
        <v>104</v>
      </c>
      <c r="H92" s="19" t="s">
        <v>36</v>
      </c>
      <c r="I92" s="19" t="s">
        <v>212</v>
      </c>
      <c r="J92" s="19" t="s">
        <v>106</v>
      </c>
      <c r="K92" s="22">
        <f>IF(L92=0,0,L92/LOOKUP(C92,Settings!$F$5:$F$20,Settings!$G$5:$G$20))</f>
        <v>60504.201680672268</v>
      </c>
      <c r="L92" s="23">
        <v>720000000</v>
      </c>
      <c r="M92" s="22">
        <f>IF(N92=0,0,N92/LOOKUP(C92,Settings!$F$5:$F$20,Settings!$G$5:$G$20))</f>
        <v>3096.5403361344538</v>
      </c>
      <c r="N92" s="23">
        <v>36848830</v>
      </c>
      <c r="O92" s="24">
        <f t="shared" si="2"/>
        <v>57407.661344537817</v>
      </c>
      <c r="P92" s="24">
        <f t="shared" si="3"/>
        <v>683151170</v>
      </c>
      <c r="Q92" s="19" t="s">
        <v>28</v>
      </c>
      <c r="R92" s="19" t="s">
        <v>195</v>
      </c>
      <c r="S92" s="20">
        <v>45335</v>
      </c>
      <c r="T92" s="19" t="s">
        <v>30</v>
      </c>
      <c r="U92" s="19" t="s">
        <v>214</v>
      </c>
    </row>
    <row r="93" spans="1:21" x14ac:dyDescent="0.2">
      <c r="A93" s="13">
        <v>91</v>
      </c>
      <c r="B93" s="13" t="s">
        <v>108</v>
      </c>
      <c r="C93" s="14">
        <v>45346</v>
      </c>
      <c r="D93" s="13" t="s">
        <v>109</v>
      </c>
      <c r="E93" s="15"/>
      <c r="F93" s="13" t="s">
        <v>200</v>
      </c>
      <c r="G93" s="13" t="s">
        <v>111</v>
      </c>
      <c r="H93" s="13" t="s">
        <v>45</v>
      </c>
      <c r="I93" s="13" t="s">
        <v>201</v>
      </c>
      <c r="J93" s="13" t="s">
        <v>113</v>
      </c>
      <c r="K93" s="16">
        <f>IF(L93=0,0,L93/LOOKUP(C93,Settings!$F$5:$F$20,Settings!$G$5:$G$20))</f>
        <v>23529.411764705881</v>
      </c>
      <c r="L93" s="17">
        <v>280000000</v>
      </c>
      <c r="M93" s="16">
        <f>IF(N93=0,0,N93/LOOKUP(C93,Settings!$F$5:$F$20,Settings!$G$5:$G$20))</f>
        <v>671.23151260504198</v>
      </c>
      <c r="N93" s="17">
        <v>7987655</v>
      </c>
      <c r="O93" s="18">
        <f t="shared" si="2"/>
        <v>22858.180252100839</v>
      </c>
      <c r="P93" s="18">
        <f t="shared" si="3"/>
        <v>272012345</v>
      </c>
      <c r="Q93" s="13" t="s">
        <v>202</v>
      </c>
      <c r="R93" s="13" t="s">
        <v>203</v>
      </c>
      <c r="S93" s="14">
        <v>45356</v>
      </c>
      <c r="T93" s="13" t="s">
        <v>30</v>
      </c>
      <c r="U93" s="15"/>
    </row>
    <row r="94" spans="1:21" x14ac:dyDescent="0.2">
      <c r="A94" s="19">
        <v>92</v>
      </c>
      <c r="B94" s="19" t="s">
        <v>108</v>
      </c>
      <c r="C94" s="20">
        <v>45357</v>
      </c>
      <c r="D94" s="19" t="s">
        <v>109</v>
      </c>
      <c r="E94" s="21"/>
      <c r="F94" s="19" t="s">
        <v>206</v>
      </c>
      <c r="G94" s="19" t="s">
        <v>111</v>
      </c>
      <c r="H94" s="19" t="s">
        <v>45</v>
      </c>
      <c r="I94" s="19" t="s">
        <v>212</v>
      </c>
      <c r="J94" s="19" t="s">
        <v>113</v>
      </c>
      <c r="K94" s="22">
        <f>IF(L94=0,0,L94/LOOKUP(C94,Settings!$F$5:$F$20,Settings!$G$5:$G$20))</f>
        <v>23529.411764705881</v>
      </c>
      <c r="L94" s="23">
        <v>280000000</v>
      </c>
      <c r="M94" s="22">
        <f>IF(N94=0,0,N94/LOOKUP(C94,Settings!$F$5:$F$20,Settings!$G$5:$G$20))</f>
        <v>1033.5825210084033</v>
      </c>
      <c r="N94" s="23">
        <v>12299632</v>
      </c>
      <c r="O94" s="24">
        <f t="shared" si="2"/>
        <v>22495.829243697477</v>
      </c>
      <c r="P94" s="24">
        <f t="shared" si="3"/>
        <v>267700368</v>
      </c>
      <c r="Q94" s="19" t="s">
        <v>202</v>
      </c>
      <c r="R94" s="19" t="s">
        <v>195</v>
      </c>
      <c r="S94" s="20">
        <v>45372</v>
      </c>
      <c r="T94" s="19" t="s">
        <v>30</v>
      </c>
      <c r="U94" s="19" t="s">
        <v>214</v>
      </c>
    </row>
    <row r="95" spans="1:21" x14ac:dyDescent="0.2">
      <c r="A95" s="13">
        <v>93</v>
      </c>
      <c r="B95" s="13" t="s">
        <v>108</v>
      </c>
      <c r="C95" s="14">
        <v>45370</v>
      </c>
      <c r="D95" s="13" t="s">
        <v>109</v>
      </c>
      <c r="E95" s="15"/>
      <c r="F95" s="13" t="s">
        <v>206</v>
      </c>
      <c r="G95" s="13" t="s">
        <v>111</v>
      </c>
      <c r="H95" s="13" t="s">
        <v>45</v>
      </c>
      <c r="I95" s="13" t="s">
        <v>207</v>
      </c>
      <c r="J95" s="13" t="s">
        <v>113</v>
      </c>
      <c r="K95" s="16">
        <f>IF(L95=0,0,L95/LOOKUP(C95,Settings!$F$5:$F$20,Settings!$G$5:$G$20))</f>
        <v>23529.411764705881</v>
      </c>
      <c r="L95" s="17">
        <v>280000000</v>
      </c>
      <c r="M95" s="16">
        <f>IF(N95=0,0,N95/LOOKUP(C95,Settings!$F$5:$F$20,Settings!$G$5:$G$20))</f>
        <v>931.2824369747899</v>
      </c>
      <c r="N95" s="17">
        <v>11082261</v>
      </c>
      <c r="O95" s="18">
        <f t="shared" si="2"/>
        <v>22598.129327731091</v>
      </c>
      <c r="P95" s="18">
        <f t="shared" si="3"/>
        <v>268917739</v>
      </c>
      <c r="Q95" s="13" t="s">
        <v>213</v>
      </c>
      <c r="R95" s="13" t="s">
        <v>195</v>
      </c>
      <c r="S95" s="14">
        <v>45385</v>
      </c>
      <c r="T95" s="13" t="s">
        <v>191</v>
      </c>
      <c r="U95" s="13" t="s">
        <v>208</v>
      </c>
    </row>
    <row r="96" spans="1:21" x14ac:dyDescent="0.2">
      <c r="A96" s="19">
        <v>94</v>
      </c>
      <c r="B96" s="19" t="s">
        <v>108</v>
      </c>
      <c r="C96" s="20">
        <v>45377</v>
      </c>
      <c r="D96" s="19" t="s">
        <v>109</v>
      </c>
      <c r="E96" s="21"/>
      <c r="F96" s="19" t="s">
        <v>193</v>
      </c>
      <c r="G96" s="19" t="s">
        <v>111</v>
      </c>
      <c r="H96" s="19" t="s">
        <v>45</v>
      </c>
      <c r="I96" s="19" t="s">
        <v>219</v>
      </c>
      <c r="J96" s="19" t="s">
        <v>113</v>
      </c>
      <c r="K96" s="22">
        <f>IF(L96=0,0,L96/LOOKUP(C96,Settings!$F$5:$F$20,Settings!$G$5:$G$20))</f>
        <v>23529.411764705881</v>
      </c>
      <c r="L96" s="23">
        <v>280000000</v>
      </c>
      <c r="M96" s="22">
        <f>IF(N96=0,0,N96/LOOKUP(C96,Settings!$F$5:$F$20,Settings!$G$5:$G$20))</f>
        <v>765.39798319327735</v>
      </c>
      <c r="N96" s="23">
        <v>9108236</v>
      </c>
      <c r="O96" s="24">
        <f t="shared" si="2"/>
        <v>22764.013781512604</v>
      </c>
      <c r="P96" s="24">
        <f t="shared" si="3"/>
        <v>270891764</v>
      </c>
      <c r="Q96" s="19" t="s">
        <v>213</v>
      </c>
      <c r="R96" s="19" t="s">
        <v>195</v>
      </c>
      <c r="S96" s="20">
        <v>45392</v>
      </c>
      <c r="T96" s="19" t="s">
        <v>30</v>
      </c>
      <c r="U96" s="19" t="s">
        <v>220</v>
      </c>
    </row>
    <row r="97" spans="1:21" x14ac:dyDescent="0.2">
      <c r="A97" s="13">
        <v>95</v>
      </c>
      <c r="B97" s="13" t="s">
        <v>116</v>
      </c>
      <c r="C97" s="14">
        <v>45410</v>
      </c>
      <c r="D97" s="13" t="s">
        <v>117</v>
      </c>
      <c r="E97" s="15"/>
      <c r="F97" s="13" t="s">
        <v>197</v>
      </c>
      <c r="G97" s="13" t="s">
        <v>119</v>
      </c>
      <c r="H97" s="13" t="s">
        <v>25</v>
      </c>
      <c r="I97" s="13" t="s">
        <v>212</v>
      </c>
      <c r="J97" s="13" t="s">
        <v>121</v>
      </c>
      <c r="K97" s="16">
        <f>IF(L97=0,0,L97/LOOKUP(C97,Settings!$F$5:$F$20,Settings!$G$5:$G$20))</f>
        <v>29045.643153526969</v>
      </c>
      <c r="L97" s="17">
        <v>350000000</v>
      </c>
      <c r="M97" s="16">
        <f>IF(N97=0,0,N97/LOOKUP(C97,Settings!$F$5:$F$20,Settings!$G$5:$G$20))</f>
        <v>2216.9349377593362</v>
      </c>
      <c r="N97" s="17">
        <v>26714066</v>
      </c>
      <c r="O97" s="18">
        <f t="shared" si="2"/>
        <v>26828.708215767634</v>
      </c>
      <c r="P97" s="18">
        <f t="shared" si="3"/>
        <v>323285934</v>
      </c>
      <c r="Q97" s="13" t="s">
        <v>28</v>
      </c>
      <c r="R97" s="13" t="s">
        <v>195</v>
      </c>
      <c r="S97" s="14">
        <v>45425</v>
      </c>
      <c r="T97" s="13" t="s">
        <v>191</v>
      </c>
      <c r="U97" s="13" t="s">
        <v>214</v>
      </c>
    </row>
    <row r="98" spans="1:21" x14ac:dyDescent="0.2">
      <c r="A98" s="19">
        <v>96</v>
      </c>
      <c r="B98" s="19" t="s">
        <v>116</v>
      </c>
      <c r="C98" s="20">
        <v>45418</v>
      </c>
      <c r="D98" s="19" t="s">
        <v>117</v>
      </c>
      <c r="E98" s="21"/>
      <c r="F98" s="19" t="s">
        <v>200</v>
      </c>
      <c r="G98" s="19" t="s">
        <v>119</v>
      </c>
      <c r="H98" s="19" t="s">
        <v>25</v>
      </c>
      <c r="I98" s="19" t="s">
        <v>204</v>
      </c>
      <c r="J98" s="19" t="s">
        <v>121</v>
      </c>
      <c r="K98" s="22">
        <f>IF(L98=0,0,L98/LOOKUP(C98,Settings!$F$5:$F$20,Settings!$G$5:$G$20))</f>
        <v>29045.643153526969</v>
      </c>
      <c r="L98" s="23">
        <v>350000000</v>
      </c>
      <c r="M98" s="22">
        <f>IF(N98=0,0,N98/LOOKUP(C98,Settings!$F$5:$F$20,Settings!$G$5:$G$20))</f>
        <v>695.11535269709543</v>
      </c>
      <c r="N98" s="23">
        <v>8376140</v>
      </c>
      <c r="O98" s="24">
        <f t="shared" si="2"/>
        <v>28350.527800829874</v>
      </c>
      <c r="P98" s="24">
        <f t="shared" si="3"/>
        <v>341623860</v>
      </c>
      <c r="Q98" s="19" t="s">
        <v>202</v>
      </c>
      <c r="R98" s="19" t="s">
        <v>203</v>
      </c>
      <c r="S98" s="20">
        <v>45428</v>
      </c>
      <c r="T98" s="19" t="s">
        <v>30</v>
      </c>
      <c r="U98" s="21"/>
    </row>
    <row r="99" spans="1:21" x14ac:dyDescent="0.2">
      <c r="A99" s="13">
        <v>97</v>
      </c>
      <c r="B99" s="13" t="s">
        <v>116</v>
      </c>
      <c r="C99" s="14">
        <v>45440</v>
      </c>
      <c r="D99" s="13" t="s">
        <v>117</v>
      </c>
      <c r="E99" s="15"/>
      <c r="F99" s="13" t="s">
        <v>211</v>
      </c>
      <c r="G99" s="13" t="s">
        <v>119</v>
      </c>
      <c r="H99" s="13" t="s">
        <v>25</v>
      </c>
      <c r="I99" s="13" t="s">
        <v>194</v>
      </c>
      <c r="J99" s="13" t="s">
        <v>121</v>
      </c>
      <c r="K99" s="16">
        <f>IF(L99=0,0,L99/LOOKUP(C99,Settings!$F$5:$F$20,Settings!$G$5:$G$20))</f>
        <v>29045.643153526969</v>
      </c>
      <c r="L99" s="17">
        <v>350000000</v>
      </c>
      <c r="M99" s="16">
        <f>IF(N99=0,0,N99/LOOKUP(C99,Settings!$F$5:$F$20,Settings!$G$5:$G$20))</f>
        <v>2181.9709543568465</v>
      </c>
      <c r="N99" s="17">
        <v>26292750</v>
      </c>
      <c r="O99" s="18">
        <f t="shared" si="2"/>
        <v>26863.672199170123</v>
      </c>
      <c r="P99" s="18">
        <f t="shared" si="3"/>
        <v>323707250</v>
      </c>
      <c r="Q99" s="13" t="s">
        <v>202</v>
      </c>
      <c r="R99" s="13" t="s">
        <v>195</v>
      </c>
      <c r="S99" s="14">
        <v>45455</v>
      </c>
      <c r="T99" s="13" t="s">
        <v>191</v>
      </c>
      <c r="U99" s="13" t="s">
        <v>196</v>
      </c>
    </row>
    <row r="100" spans="1:21" x14ac:dyDescent="0.2">
      <c r="A100" s="19">
        <v>98</v>
      </c>
      <c r="B100" s="19" t="s">
        <v>124</v>
      </c>
      <c r="C100" s="20">
        <v>45485</v>
      </c>
      <c r="D100" s="19" t="s">
        <v>125</v>
      </c>
      <c r="E100" s="21"/>
      <c r="F100" s="19" t="s">
        <v>206</v>
      </c>
      <c r="G100" s="19" t="s">
        <v>127</v>
      </c>
      <c r="H100" s="19" t="s">
        <v>128</v>
      </c>
      <c r="I100" s="19" t="s">
        <v>198</v>
      </c>
      <c r="J100" s="19" t="s">
        <v>130</v>
      </c>
      <c r="K100" s="22">
        <f>IF(L100=0,0,L100/LOOKUP(C100,Settings!$F$5:$F$20,Settings!$G$5:$G$20))</f>
        <v>14754.098360655738</v>
      </c>
      <c r="L100" s="23">
        <v>180000000</v>
      </c>
      <c r="M100" s="22">
        <f>IF(N100=0,0,N100/LOOKUP(C100,Settings!$F$5:$F$20,Settings!$G$5:$G$20))</f>
        <v>1157.2445901639344</v>
      </c>
      <c r="N100" s="23">
        <v>14118384</v>
      </c>
      <c r="O100" s="24">
        <f t="shared" si="2"/>
        <v>13596.853770491804</v>
      </c>
      <c r="P100" s="24">
        <f t="shared" si="3"/>
        <v>165881616</v>
      </c>
      <c r="Q100" s="19" t="s">
        <v>213</v>
      </c>
      <c r="R100" s="19" t="s">
        <v>195</v>
      </c>
      <c r="S100" s="20">
        <v>45500</v>
      </c>
      <c r="T100" s="19" t="s">
        <v>30</v>
      </c>
      <c r="U100" s="19" t="s">
        <v>199</v>
      </c>
    </row>
    <row r="101" spans="1:21" x14ac:dyDescent="0.2">
      <c r="A101" s="13">
        <v>99</v>
      </c>
      <c r="B101" s="13" t="s">
        <v>124</v>
      </c>
      <c r="C101" s="14">
        <v>45491</v>
      </c>
      <c r="D101" s="13" t="s">
        <v>125</v>
      </c>
      <c r="E101" s="15"/>
      <c r="F101" s="13" t="s">
        <v>209</v>
      </c>
      <c r="G101" s="13" t="s">
        <v>127</v>
      </c>
      <c r="H101" s="13" t="s">
        <v>128</v>
      </c>
      <c r="I101" s="13" t="s">
        <v>215</v>
      </c>
      <c r="J101" s="13" t="s">
        <v>130</v>
      </c>
      <c r="K101" s="16">
        <f>IF(L101=0,0,L101/LOOKUP(C101,Settings!$F$5:$F$20,Settings!$G$5:$G$20))</f>
        <v>14754.098360655738</v>
      </c>
      <c r="L101" s="17">
        <v>180000000</v>
      </c>
      <c r="M101" s="16">
        <f>IF(N101=0,0,N101/LOOKUP(C101,Settings!$F$5:$F$20,Settings!$G$5:$G$20))</f>
        <v>240.08008196721312</v>
      </c>
      <c r="N101" s="17">
        <v>2928977</v>
      </c>
      <c r="O101" s="18">
        <f t="shared" si="2"/>
        <v>14514.018278688525</v>
      </c>
      <c r="P101" s="18">
        <f t="shared" si="3"/>
        <v>177071023</v>
      </c>
      <c r="Q101" s="13" t="s">
        <v>202</v>
      </c>
      <c r="R101" s="13" t="s">
        <v>210</v>
      </c>
      <c r="S101" s="14">
        <v>45501</v>
      </c>
      <c r="T101" s="13" t="s">
        <v>30</v>
      </c>
      <c r="U101" s="15"/>
    </row>
    <row r="102" spans="1:21" x14ac:dyDescent="0.2">
      <c r="A102" s="19">
        <v>100</v>
      </c>
      <c r="B102" s="19" t="s">
        <v>134</v>
      </c>
      <c r="C102" s="20">
        <v>45531</v>
      </c>
      <c r="D102" s="19" t="s">
        <v>135</v>
      </c>
      <c r="E102" s="21"/>
      <c r="F102" s="19" t="s">
        <v>200</v>
      </c>
      <c r="G102" s="19" t="s">
        <v>137</v>
      </c>
      <c r="H102" s="19" t="s">
        <v>36</v>
      </c>
      <c r="I102" s="19" t="s">
        <v>201</v>
      </c>
      <c r="J102" s="19" t="s">
        <v>139</v>
      </c>
      <c r="K102" s="22">
        <f>IF(L102=0,0,L102/LOOKUP(C102,Settings!$F$5:$F$20,Settings!$G$5:$G$20))</f>
        <v>49180.327868852459</v>
      </c>
      <c r="L102" s="23">
        <v>600000000</v>
      </c>
      <c r="M102" s="22">
        <f>IF(N102=0,0,N102/LOOKUP(C102,Settings!$F$5:$F$20,Settings!$G$5:$G$20))</f>
        <v>609.72450819672133</v>
      </c>
      <c r="N102" s="23">
        <v>7438639</v>
      </c>
      <c r="O102" s="24">
        <f t="shared" si="2"/>
        <v>48570.603360655739</v>
      </c>
      <c r="P102" s="24">
        <f t="shared" si="3"/>
        <v>592561361</v>
      </c>
      <c r="Q102" s="19" t="s">
        <v>202</v>
      </c>
      <c r="R102" s="19" t="s">
        <v>203</v>
      </c>
      <c r="S102" s="20">
        <v>45541</v>
      </c>
      <c r="T102" s="19" t="s">
        <v>30</v>
      </c>
      <c r="U102" s="21"/>
    </row>
    <row r="103" spans="1:21" x14ac:dyDescent="0.2">
      <c r="A103" s="13">
        <v>101</v>
      </c>
      <c r="B103" s="13" t="s">
        <v>134</v>
      </c>
      <c r="C103" s="14">
        <v>45556</v>
      </c>
      <c r="D103" s="13" t="s">
        <v>135</v>
      </c>
      <c r="E103" s="15"/>
      <c r="F103" s="13" t="s">
        <v>206</v>
      </c>
      <c r="G103" s="13" t="s">
        <v>137</v>
      </c>
      <c r="H103" s="13" t="s">
        <v>36</v>
      </c>
      <c r="I103" s="13" t="s">
        <v>207</v>
      </c>
      <c r="J103" s="13" t="s">
        <v>139</v>
      </c>
      <c r="K103" s="16">
        <f>IF(L103=0,0,L103/LOOKUP(C103,Settings!$F$5:$F$20,Settings!$G$5:$G$20))</f>
        <v>49180.327868852459</v>
      </c>
      <c r="L103" s="17">
        <v>600000000</v>
      </c>
      <c r="M103" s="16">
        <f>IF(N103=0,0,N103/LOOKUP(C103,Settings!$F$5:$F$20,Settings!$G$5:$G$20))</f>
        <v>1643.9048360655738</v>
      </c>
      <c r="N103" s="17">
        <v>20055639</v>
      </c>
      <c r="O103" s="18">
        <f t="shared" si="2"/>
        <v>47536.423032786886</v>
      </c>
      <c r="P103" s="18">
        <f t="shared" si="3"/>
        <v>579944361</v>
      </c>
      <c r="Q103" s="13" t="s">
        <v>202</v>
      </c>
      <c r="R103" s="13" t="s">
        <v>195</v>
      </c>
      <c r="S103" s="14">
        <v>45571</v>
      </c>
      <c r="T103" s="13" t="s">
        <v>30</v>
      </c>
      <c r="U103" s="13" t="s">
        <v>208</v>
      </c>
    </row>
    <row r="104" spans="1:21" x14ac:dyDescent="0.2">
      <c r="A104" s="19">
        <v>102</v>
      </c>
      <c r="B104" s="19" t="s">
        <v>141</v>
      </c>
      <c r="C104" s="20">
        <v>45586</v>
      </c>
      <c r="D104" s="19" t="s">
        <v>142</v>
      </c>
      <c r="E104" s="21"/>
      <c r="F104" s="19" t="s">
        <v>205</v>
      </c>
      <c r="G104" s="19" t="s">
        <v>144</v>
      </c>
      <c r="H104" s="19" t="s">
        <v>45</v>
      </c>
      <c r="I104" s="19" t="s">
        <v>212</v>
      </c>
      <c r="J104" s="19" t="s">
        <v>146</v>
      </c>
      <c r="K104" s="22">
        <f>IF(L104=0,0,L104/LOOKUP(C104,Settings!$F$5:$F$20,Settings!$G$5:$G$20))</f>
        <v>20242.914979757086</v>
      </c>
      <c r="L104" s="23">
        <v>250000000</v>
      </c>
      <c r="M104" s="22">
        <f>IF(N104=0,0,N104/LOOKUP(C104,Settings!$F$5:$F$20,Settings!$G$5:$G$20))</f>
        <v>1198.0488259109311</v>
      </c>
      <c r="N104" s="23">
        <v>14795903</v>
      </c>
      <c r="O104" s="24">
        <f t="shared" si="2"/>
        <v>19044.866153846157</v>
      </c>
      <c r="P104" s="24">
        <f t="shared" si="3"/>
        <v>235204097</v>
      </c>
      <c r="Q104" s="19" t="s">
        <v>213</v>
      </c>
      <c r="R104" s="19" t="s">
        <v>195</v>
      </c>
      <c r="S104" s="20">
        <v>45601</v>
      </c>
      <c r="T104" s="19" t="s">
        <v>191</v>
      </c>
      <c r="U104" s="19" t="s">
        <v>214</v>
      </c>
    </row>
    <row r="105" spans="1:21" x14ac:dyDescent="0.2">
      <c r="A105" s="13">
        <v>103</v>
      </c>
      <c r="B105" s="13" t="s">
        <v>141</v>
      </c>
      <c r="C105" s="14">
        <v>45597</v>
      </c>
      <c r="D105" s="13" t="s">
        <v>142</v>
      </c>
      <c r="E105" s="15"/>
      <c r="F105" s="13" t="s">
        <v>205</v>
      </c>
      <c r="G105" s="13" t="s">
        <v>144</v>
      </c>
      <c r="H105" s="13" t="s">
        <v>45</v>
      </c>
      <c r="I105" s="13" t="s">
        <v>194</v>
      </c>
      <c r="J105" s="13" t="s">
        <v>146</v>
      </c>
      <c r="K105" s="16">
        <f>IF(L105=0,0,L105/LOOKUP(C105,Settings!$F$5:$F$20,Settings!$G$5:$G$20))</f>
        <v>20242.914979757086</v>
      </c>
      <c r="L105" s="17">
        <v>250000000</v>
      </c>
      <c r="M105" s="16">
        <f>IF(N105=0,0,N105/LOOKUP(C105,Settings!$F$5:$F$20,Settings!$G$5:$G$20))</f>
        <v>1332.1778947368421</v>
      </c>
      <c r="N105" s="17">
        <v>16452397</v>
      </c>
      <c r="O105" s="18">
        <f t="shared" si="2"/>
        <v>18910.737085020242</v>
      </c>
      <c r="P105" s="18">
        <f t="shared" si="3"/>
        <v>233547603</v>
      </c>
      <c r="Q105" s="13" t="s">
        <v>202</v>
      </c>
      <c r="R105" s="13" t="s">
        <v>195</v>
      </c>
      <c r="S105" s="14">
        <v>45612</v>
      </c>
      <c r="T105" s="13" t="s">
        <v>191</v>
      </c>
      <c r="U105" s="13" t="s">
        <v>196</v>
      </c>
    </row>
    <row r="106" spans="1:21" x14ac:dyDescent="0.2">
      <c r="A106" s="19">
        <v>104</v>
      </c>
      <c r="B106" s="19" t="s">
        <v>141</v>
      </c>
      <c r="C106" s="20">
        <v>45600</v>
      </c>
      <c r="D106" s="19" t="s">
        <v>142</v>
      </c>
      <c r="E106" s="21"/>
      <c r="F106" s="19" t="s">
        <v>209</v>
      </c>
      <c r="G106" s="19" t="s">
        <v>144</v>
      </c>
      <c r="H106" s="19" t="s">
        <v>45</v>
      </c>
      <c r="I106" s="19" t="s">
        <v>204</v>
      </c>
      <c r="J106" s="19" t="s">
        <v>146</v>
      </c>
      <c r="K106" s="22">
        <f>IF(L106=0,0,L106/LOOKUP(C106,Settings!$F$5:$F$20,Settings!$G$5:$G$20))</f>
        <v>20242.914979757086</v>
      </c>
      <c r="L106" s="23">
        <v>250000000</v>
      </c>
      <c r="M106" s="22">
        <f>IF(N106=0,0,N106/LOOKUP(C106,Settings!$F$5:$F$20,Settings!$G$5:$G$20))</f>
        <v>581.26890688259107</v>
      </c>
      <c r="N106" s="23">
        <v>7178671</v>
      </c>
      <c r="O106" s="24">
        <f t="shared" si="2"/>
        <v>19661.646072874497</v>
      </c>
      <c r="P106" s="24">
        <f t="shared" si="3"/>
        <v>242821329</v>
      </c>
      <c r="Q106" s="19" t="s">
        <v>202</v>
      </c>
      <c r="R106" s="19" t="s">
        <v>210</v>
      </c>
      <c r="S106" s="20">
        <v>45610</v>
      </c>
      <c r="T106" s="19" t="s">
        <v>30</v>
      </c>
      <c r="U106" s="21"/>
    </row>
    <row r="107" spans="1:21" x14ac:dyDescent="0.2">
      <c r="A107" s="13">
        <v>105</v>
      </c>
      <c r="B107" s="13" t="s">
        <v>141</v>
      </c>
      <c r="C107" s="14">
        <v>45606</v>
      </c>
      <c r="D107" s="13" t="s">
        <v>142</v>
      </c>
      <c r="E107" s="15"/>
      <c r="F107" s="13" t="s">
        <v>205</v>
      </c>
      <c r="G107" s="13" t="s">
        <v>144</v>
      </c>
      <c r="H107" s="13" t="s">
        <v>45</v>
      </c>
      <c r="I107" s="13" t="s">
        <v>194</v>
      </c>
      <c r="J107" s="13" t="s">
        <v>146</v>
      </c>
      <c r="K107" s="16">
        <f>IF(L107=0,0,L107/LOOKUP(C107,Settings!$F$5:$F$20,Settings!$G$5:$G$20))</f>
        <v>20242.914979757086</v>
      </c>
      <c r="L107" s="17">
        <v>250000000</v>
      </c>
      <c r="M107" s="16">
        <f>IF(N107=0,0,N107/LOOKUP(C107,Settings!$F$5:$F$20,Settings!$G$5:$G$20))</f>
        <v>1260.6282591093118</v>
      </c>
      <c r="N107" s="17">
        <v>15568759</v>
      </c>
      <c r="O107" s="18">
        <f t="shared" si="2"/>
        <v>18982.286720647775</v>
      </c>
      <c r="P107" s="18">
        <f t="shared" si="3"/>
        <v>234431241</v>
      </c>
      <c r="Q107" s="13" t="s">
        <v>28</v>
      </c>
      <c r="R107" s="13" t="s">
        <v>195</v>
      </c>
      <c r="S107" s="14">
        <v>45621</v>
      </c>
      <c r="T107" s="13" t="s">
        <v>191</v>
      </c>
      <c r="U107" s="13" t="s">
        <v>196</v>
      </c>
    </row>
    <row r="108" spans="1:21" x14ac:dyDescent="0.2">
      <c r="A108" s="19">
        <v>106</v>
      </c>
      <c r="B108" s="19" t="s">
        <v>150</v>
      </c>
      <c r="C108" s="20">
        <v>45646</v>
      </c>
      <c r="D108" s="19" t="s">
        <v>151</v>
      </c>
      <c r="E108" s="21"/>
      <c r="F108" s="19" t="s">
        <v>209</v>
      </c>
      <c r="G108" s="19" t="s">
        <v>153</v>
      </c>
      <c r="H108" s="19" t="s">
        <v>25</v>
      </c>
      <c r="I108" s="19" t="s">
        <v>204</v>
      </c>
      <c r="J108" s="19" t="s">
        <v>155</v>
      </c>
      <c r="K108" s="22">
        <f>IF(L108=0,0,L108/LOOKUP(C108,Settings!$F$5:$F$20,Settings!$G$5:$G$20))</f>
        <v>72874.493927125499</v>
      </c>
      <c r="L108" s="23">
        <v>900000000</v>
      </c>
      <c r="M108" s="22">
        <f>IF(N108=0,0,N108/LOOKUP(C108,Settings!$F$5:$F$20,Settings!$G$5:$G$20))</f>
        <v>1267.3268825910932</v>
      </c>
      <c r="N108" s="23">
        <v>15651487</v>
      </c>
      <c r="O108" s="24">
        <f t="shared" si="2"/>
        <v>71607.167044534406</v>
      </c>
      <c r="P108" s="24">
        <f t="shared" si="3"/>
        <v>884348513</v>
      </c>
      <c r="Q108" s="19" t="s">
        <v>202</v>
      </c>
      <c r="R108" s="19" t="s">
        <v>210</v>
      </c>
      <c r="S108" s="20">
        <v>45656</v>
      </c>
      <c r="T108" s="19" t="s">
        <v>30</v>
      </c>
      <c r="U108" s="21"/>
    </row>
    <row r="109" spans="1:21" x14ac:dyDescent="0.2">
      <c r="A109" s="13">
        <v>107</v>
      </c>
      <c r="B109" s="13" t="s">
        <v>150</v>
      </c>
      <c r="C109" s="14">
        <v>45678</v>
      </c>
      <c r="D109" s="13" t="s">
        <v>151</v>
      </c>
      <c r="E109" s="15"/>
      <c r="F109" s="13" t="s">
        <v>216</v>
      </c>
      <c r="G109" s="13" t="s">
        <v>153</v>
      </c>
      <c r="H109" s="13" t="s">
        <v>25</v>
      </c>
      <c r="I109" s="13" t="s">
        <v>194</v>
      </c>
      <c r="J109" s="13" t="s">
        <v>155</v>
      </c>
      <c r="K109" s="16">
        <f>IF(L109=0,0,L109/LOOKUP(C109,Settings!$F$5:$F$20,Settings!$G$5:$G$20))</f>
        <v>72000</v>
      </c>
      <c r="L109" s="17">
        <v>900000000</v>
      </c>
      <c r="M109" s="16">
        <f>IF(N109=0,0,N109/LOOKUP(C109,Settings!$F$5:$F$20,Settings!$G$5:$G$20))</f>
        <v>3114.7214399999998</v>
      </c>
      <c r="N109" s="17">
        <v>38934018</v>
      </c>
      <c r="O109" s="18">
        <f t="shared" si="2"/>
        <v>68885.278560000006</v>
      </c>
      <c r="P109" s="18">
        <f t="shared" si="3"/>
        <v>861065982</v>
      </c>
      <c r="Q109" s="13" t="s">
        <v>28</v>
      </c>
      <c r="R109" s="13" t="s">
        <v>195</v>
      </c>
      <c r="S109" s="14">
        <v>45693</v>
      </c>
      <c r="T109" s="13" t="s">
        <v>30</v>
      </c>
      <c r="U109" s="13" t="s">
        <v>196</v>
      </c>
    </row>
    <row r="110" spans="1:21" x14ac:dyDescent="0.2">
      <c r="A110" s="19">
        <v>108</v>
      </c>
      <c r="B110" s="19" t="s">
        <v>157</v>
      </c>
      <c r="C110" s="20">
        <v>45728</v>
      </c>
      <c r="D110" s="19" t="s">
        <v>158</v>
      </c>
      <c r="E110" s="21"/>
      <c r="F110" s="19" t="s">
        <v>209</v>
      </c>
      <c r="G110" s="19" t="s">
        <v>160</v>
      </c>
      <c r="H110" s="19" t="s">
        <v>36</v>
      </c>
      <c r="I110" s="19" t="s">
        <v>215</v>
      </c>
      <c r="J110" s="19" t="s">
        <v>162</v>
      </c>
      <c r="K110" s="22">
        <f>IF(L110=0,0,L110/LOOKUP(C110,Settings!$F$5:$F$20,Settings!$G$5:$G$20))</f>
        <v>88000</v>
      </c>
      <c r="L110" s="23">
        <v>1100000000</v>
      </c>
      <c r="M110" s="22">
        <f>IF(N110=0,0,N110/LOOKUP(C110,Settings!$F$5:$F$20,Settings!$G$5:$G$20))</f>
        <v>1996.2588000000001</v>
      </c>
      <c r="N110" s="23">
        <v>24953235</v>
      </c>
      <c r="O110" s="24">
        <f t="shared" si="2"/>
        <v>86003.741200000004</v>
      </c>
      <c r="P110" s="24">
        <f t="shared" si="3"/>
        <v>1075046765</v>
      </c>
      <c r="Q110" s="19" t="s">
        <v>202</v>
      </c>
      <c r="R110" s="19" t="s">
        <v>210</v>
      </c>
      <c r="S110" s="20">
        <v>45738</v>
      </c>
      <c r="T110" s="19" t="s">
        <v>30</v>
      </c>
      <c r="U110" s="21"/>
    </row>
    <row r="111" spans="1:21" x14ac:dyDescent="0.2">
      <c r="A111" s="13">
        <v>109</v>
      </c>
      <c r="B111" s="13" t="s">
        <v>157</v>
      </c>
      <c r="C111" s="14">
        <v>45729</v>
      </c>
      <c r="D111" s="13" t="s">
        <v>158</v>
      </c>
      <c r="E111" s="15"/>
      <c r="F111" s="13" t="s">
        <v>216</v>
      </c>
      <c r="G111" s="13" t="s">
        <v>160</v>
      </c>
      <c r="H111" s="13" t="s">
        <v>36</v>
      </c>
      <c r="I111" s="13" t="s">
        <v>198</v>
      </c>
      <c r="J111" s="13" t="s">
        <v>162</v>
      </c>
      <c r="K111" s="16">
        <f>IF(L111=0,0,L111/LOOKUP(C111,Settings!$F$5:$F$20,Settings!$G$5:$G$20))</f>
        <v>88000</v>
      </c>
      <c r="L111" s="17">
        <v>1100000000</v>
      </c>
      <c r="M111" s="16">
        <f>IF(N111=0,0,N111/LOOKUP(C111,Settings!$F$5:$F$20,Settings!$G$5:$G$20))</f>
        <v>3566.7704800000001</v>
      </c>
      <c r="N111" s="17">
        <v>44584631</v>
      </c>
      <c r="O111" s="18">
        <f t="shared" si="2"/>
        <v>84433.229519999993</v>
      </c>
      <c r="P111" s="18">
        <f t="shared" si="3"/>
        <v>1055415369</v>
      </c>
      <c r="Q111" s="13" t="s">
        <v>28</v>
      </c>
      <c r="R111" s="13" t="s">
        <v>195</v>
      </c>
      <c r="S111" s="14">
        <v>45744</v>
      </c>
      <c r="T111" s="13" t="s">
        <v>30</v>
      </c>
      <c r="U111" s="13" t="s">
        <v>199</v>
      </c>
    </row>
    <row r="112" spans="1:21" x14ac:dyDescent="0.2">
      <c r="A112" s="19">
        <v>110</v>
      </c>
      <c r="B112" s="19" t="s">
        <v>157</v>
      </c>
      <c r="C112" s="20">
        <v>45753</v>
      </c>
      <c r="D112" s="19" t="s">
        <v>158</v>
      </c>
      <c r="E112" s="21"/>
      <c r="F112" s="19" t="s">
        <v>193</v>
      </c>
      <c r="G112" s="19" t="s">
        <v>160</v>
      </c>
      <c r="H112" s="19" t="s">
        <v>36</v>
      </c>
      <c r="I112" s="19" t="s">
        <v>219</v>
      </c>
      <c r="J112" s="19" t="s">
        <v>162</v>
      </c>
      <c r="K112" s="22">
        <f>IF(L112=0,0,L112/LOOKUP(C112,Settings!$F$5:$F$20,Settings!$G$5:$G$20))</f>
        <v>87301.587301587308</v>
      </c>
      <c r="L112" s="23">
        <v>1100000000</v>
      </c>
      <c r="M112" s="22">
        <f>IF(N112=0,0,N112/LOOKUP(C112,Settings!$F$5:$F$20,Settings!$G$5:$G$20))</f>
        <v>5534.3234920634923</v>
      </c>
      <c r="N112" s="23">
        <v>69732476</v>
      </c>
      <c r="O112" s="24">
        <f t="shared" si="2"/>
        <v>81767.263809523822</v>
      </c>
      <c r="P112" s="24">
        <f t="shared" si="3"/>
        <v>1030267524</v>
      </c>
      <c r="Q112" s="19" t="s">
        <v>213</v>
      </c>
      <c r="R112" s="19" t="s">
        <v>195</v>
      </c>
      <c r="S112" s="20">
        <v>45768</v>
      </c>
      <c r="T112" s="19" t="s">
        <v>191</v>
      </c>
      <c r="U112" s="19" t="s">
        <v>220</v>
      </c>
    </row>
    <row r="113" spans="1:21" x14ac:dyDescent="0.2">
      <c r="A113" s="13">
        <v>111</v>
      </c>
      <c r="B113" s="13" t="s">
        <v>157</v>
      </c>
      <c r="C113" s="14">
        <v>45754</v>
      </c>
      <c r="D113" s="13" t="s">
        <v>158</v>
      </c>
      <c r="E113" s="15"/>
      <c r="F113" s="13" t="s">
        <v>206</v>
      </c>
      <c r="G113" s="13" t="s">
        <v>160</v>
      </c>
      <c r="H113" s="13" t="s">
        <v>36</v>
      </c>
      <c r="I113" s="13" t="s">
        <v>207</v>
      </c>
      <c r="J113" s="13" t="s">
        <v>162</v>
      </c>
      <c r="K113" s="16">
        <f>IF(L113=0,0,L113/LOOKUP(C113,Settings!$F$5:$F$20,Settings!$G$5:$G$20))</f>
        <v>87301.587301587308</v>
      </c>
      <c r="L113" s="17">
        <v>1100000000</v>
      </c>
      <c r="M113" s="16">
        <f>IF(N113=0,0,N113/LOOKUP(C113,Settings!$F$5:$F$20,Settings!$G$5:$G$20))</f>
        <v>3773.4623015873017</v>
      </c>
      <c r="N113" s="17">
        <v>47545625</v>
      </c>
      <c r="O113" s="18">
        <f t="shared" si="2"/>
        <v>83528.125</v>
      </c>
      <c r="P113" s="18">
        <f t="shared" si="3"/>
        <v>1052454375</v>
      </c>
      <c r="Q113" s="13" t="s">
        <v>202</v>
      </c>
      <c r="R113" s="13" t="s">
        <v>195</v>
      </c>
      <c r="S113" s="14">
        <v>45769</v>
      </c>
      <c r="T113" s="13" t="s">
        <v>30</v>
      </c>
      <c r="U113" s="13" t="s">
        <v>208</v>
      </c>
    </row>
    <row r="114" spans="1:21" x14ac:dyDescent="0.2">
      <c r="A114" s="19">
        <v>112</v>
      </c>
      <c r="B114" s="19" t="s">
        <v>167</v>
      </c>
      <c r="C114" s="20">
        <v>45805</v>
      </c>
      <c r="D114" s="19" t="s">
        <v>168</v>
      </c>
      <c r="E114" s="21"/>
      <c r="F114" s="19" t="s">
        <v>211</v>
      </c>
      <c r="G114" s="19" t="s">
        <v>170</v>
      </c>
      <c r="H114" s="19" t="s">
        <v>72</v>
      </c>
      <c r="I114" s="19" t="s">
        <v>217</v>
      </c>
      <c r="J114" s="19" t="s">
        <v>172</v>
      </c>
      <c r="K114" s="22">
        <f>IF(L114=0,0,L114/LOOKUP(C114,Settings!$F$5:$F$20,Settings!$G$5:$G$20))</f>
        <v>59523.809523809527</v>
      </c>
      <c r="L114" s="23">
        <v>750000000</v>
      </c>
      <c r="M114" s="22">
        <f>IF(N114=0,0,N114/LOOKUP(C114,Settings!$F$5:$F$20,Settings!$G$5:$G$20))</f>
        <v>4254.0121428571429</v>
      </c>
      <c r="N114" s="23">
        <v>53600553</v>
      </c>
      <c r="O114" s="24">
        <f t="shared" si="2"/>
        <v>55269.797380952383</v>
      </c>
      <c r="P114" s="24">
        <f t="shared" si="3"/>
        <v>696399447</v>
      </c>
      <c r="Q114" s="19" t="s">
        <v>202</v>
      </c>
      <c r="R114" s="19" t="s">
        <v>195</v>
      </c>
      <c r="S114" s="20">
        <v>45820</v>
      </c>
      <c r="T114" s="19" t="s">
        <v>30</v>
      </c>
      <c r="U114" s="19" t="s">
        <v>218</v>
      </c>
    </row>
    <row r="115" spans="1:21" x14ac:dyDescent="0.2">
      <c r="A115" s="13">
        <v>113</v>
      </c>
      <c r="B115" s="13" t="s">
        <v>167</v>
      </c>
      <c r="C115" s="14">
        <v>45805</v>
      </c>
      <c r="D115" s="13" t="s">
        <v>168</v>
      </c>
      <c r="E115" s="15"/>
      <c r="F115" s="13" t="s">
        <v>200</v>
      </c>
      <c r="G115" s="13" t="s">
        <v>170</v>
      </c>
      <c r="H115" s="13" t="s">
        <v>72</v>
      </c>
      <c r="I115" s="13" t="s">
        <v>215</v>
      </c>
      <c r="J115" s="13" t="s">
        <v>172</v>
      </c>
      <c r="K115" s="16">
        <f>IF(L115=0,0,L115/LOOKUP(C115,Settings!$F$5:$F$20,Settings!$G$5:$G$20))</f>
        <v>59523.809523809527</v>
      </c>
      <c r="L115" s="17">
        <v>750000000</v>
      </c>
      <c r="M115" s="16">
        <f>IF(N115=0,0,N115/LOOKUP(C115,Settings!$F$5:$F$20,Settings!$G$5:$G$20))</f>
        <v>1513.2371428571428</v>
      </c>
      <c r="N115" s="17">
        <v>19066788</v>
      </c>
      <c r="O115" s="18">
        <f t="shared" si="2"/>
        <v>58010.572380952384</v>
      </c>
      <c r="P115" s="18">
        <f t="shared" si="3"/>
        <v>730933212</v>
      </c>
      <c r="Q115" s="13" t="s">
        <v>202</v>
      </c>
      <c r="R115" s="13" t="s">
        <v>203</v>
      </c>
      <c r="S115" s="14">
        <v>45815</v>
      </c>
      <c r="T115" s="13" t="s">
        <v>30</v>
      </c>
      <c r="U115" s="15"/>
    </row>
    <row r="116" spans="1:21" x14ac:dyDescent="0.2">
      <c r="A116" s="19">
        <v>114</v>
      </c>
      <c r="B116" s="19" t="s">
        <v>175</v>
      </c>
      <c r="C116" s="20">
        <v>45890</v>
      </c>
      <c r="D116" s="19" t="s">
        <v>176</v>
      </c>
      <c r="E116" s="21"/>
      <c r="F116" s="19" t="s">
        <v>200</v>
      </c>
      <c r="G116" s="19" t="s">
        <v>178</v>
      </c>
      <c r="H116" s="19" t="s">
        <v>45</v>
      </c>
      <c r="I116" s="19" t="s">
        <v>215</v>
      </c>
      <c r="J116" s="19" t="s">
        <v>180</v>
      </c>
      <c r="K116" s="22">
        <f>IF(L116=0,0,L116/LOOKUP(C116,Settings!$F$5:$F$20,Settings!$G$5:$G$20))</f>
        <v>39370.078740157478</v>
      </c>
      <c r="L116" s="23">
        <v>500000000</v>
      </c>
      <c r="M116" s="22">
        <f>IF(N116=0,0,N116/LOOKUP(C116,Settings!$F$5:$F$20,Settings!$G$5:$G$20))</f>
        <v>930.76110236220472</v>
      </c>
      <c r="N116" s="23">
        <v>11820666</v>
      </c>
      <c r="O116" s="24">
        <f t="shared" si="2"/>
        <v>38439.317637795277</v>
      </c>
      <c r="P116" s="24">
        <f t="shared" si="3"/>
        <v>488179334</v>
      </c>
      <c r="Q116" s="19" t="s">
        <v>202</v>
      </c>
      <c r="R116" s="19" t="s">
        <v>203</v>
      </c>
      <c r="S116" s="20">
        <v>45900</v>
      </c>
      <c r="T116" s="19" t="s">
        <v>30</v>
      </c>
      <c r="U116" s="21"/>
    </row>
    <row r="117" spans="1:21" x14ac:dyDescent="0.2">
      <c r="A117" s="13">
        <v>115</v>
      </c>
      <c r="B117" s="13" t="s">
        <v>175</v>
      </c>
      <c r="C117" s="14">
        <v>45893</v>
      </c>
      <c r="D117" s="13" t="s">
        <v>176</v>
      </c>
      <c r="E117" s="15"/>
      <c r="F117" s="13" t="s">
        <v>206</v>
      </c>
      <c r="G117" s="13" t="s">
        <v>178</v>
      </c>
      <c r="H117" s="13" t="s">
        <v>45</v>
      </c>
      <c r="I117" s="13" t="s">
        <v>217</v>
      </c>
      <c r="J117" s="13" t="s">
        <v>180</v>
      </c>
      <c r="K117" s="16">
        <f>IF(L117=0,0,L117/LOOKUP(C117,Settings!$F$5:$F$20,Settings!$G$5:$G$20))</f>
        <v>39370.078740157478</v>
      </c>
      <c r="L117" s="17">
        <v>500000000</v>
      </c>
      <c r="M117" s="16">
        <f>IF(N117=0,0,N117/LOOKUP(C117,Settings!$F$5:$F$20,Settings!$G$5:$G$20))</f>
        <v>2255.0989763779526</v>
      </c>
      <c r="N117" s="17">
        <v>28639757</v>
      </c>
      <c r="O117" s="18">
        <f t="shared" si="2"/>
        <v>37114.979763779527</v>
      </c>
      <c r="P117" s="18">
        <f t="shared" si="3"/>
        <v>471360243</v>
      </c>
      <c r="Q117" s="13" t="s">
        <v>28</v>
      </c>
      <c r="R117" s="13" t="s">
        <v>195</v>
      </c>
      <c r="S117" s="14">
        <v>45908</v>
      </c>
      <c r="T117" s="13" t="s">
        <v>30</v>
      </c>
      <c r="U117" s="13" t="s">
        <v>218</v>
      </c>
    </row>
    <row r="118" spans="1:21" x14ac:dyDescent="0.2">
      <c r="A118" s="19">
        <v>116</v>
      </c>
      <c r="B118" s="19" t="s">
        <v>175</v>
      </c>
      <c r="C118" s="20">
        <v>45916</v>
      </c>
      <c r="D118" s="19" t="s">
        <v>176</v>
      </c>
      <c r="E118" s="21"/>
      <c r="F118" s="19" t="s">
        <v>193</v>
      </c>
      <c r="G118" s="19" t="s">
        <v>178</v>
      </c>
      <c r="H118" s="19" t="s">
        <v>45</v>
      </c>
      <c r="I118" s="19" t="s">
        <v>194</v>
      </c>
      <c r="J118" s="19" t="s">
        <v>180</v>
      </c>
      <c r="K118" s="22">
        <f>IF(L118=0,0,L118/LOOKUP(C118,Settings!$F$5:$F$20,Settings!$G$5:$G$20))</f>
        <v>39370.078740157478</v>
      </c>
      <c r="L118" s="23">
        <v>500000000</v>
      </c>
      <c r="M118" s="22">
        <f>IF(N118=0,0,N118/LOOKUP(C118,Settings!$F$5:$F$20,Settings!$G$5:$G$20))</f>
        <v>1787.9100787401576</v>
      </c>
      <c r="N118" s="23">
        <v>22706458</v>
      </c>
      <c r="O118" s="24">
        <f t="shared" si="2"/>
        <v>37582.168661417323</v>
      </c>
      <c r="P118" s="24">
        <f t="shared" si="3"/>
        <v>477293542</v>
      </c>
      <c r="Q118" s="19" t="s">
        <v>202</v>
      </c>
      <c r="R118" s="19" t="s">
        <v>195</v>
      </c>
      <c r="S118" s="20">
        <v>45931</v>
      </c>
      <c r="T118" s="19" t="s">
        <v>191</v>
      </c>
      <c r="U118" s="19" t="s">
        <v>196</v>
      </c>
    </row>
    <row r="119" spans="1:21" x14ac:dyDescent="0.2">
      <c r="A119" s="13">
        <v>117</v>
      </c>
      <c r="B119" s="13" t="s">
        <v>175</v>
      </c>
      <c r="C119" s="14">
        <v>45917</v>
      </c>
      <c r="D119" s="13" t="s">
        <v>176</v>
      </c>
      <c r="E119" s="15"/>
      <c r="F119" s="13" t="s">
        <v>205</v>
      </c>
      <c r="G119" s="13" t="s">
        <v>178</v>
      </c>
      <c r="H119" s="13" t="s">
        <v>45</v>
      </c>
      <c r="I119" s="13" t="s">
        <v>219</v>
      </c>
      <c r="J119" s="13" t="s">
        <v>180</v>
      </c>
      <c r="K119" s="16">
        <f>IF(L119=0,0,L119/LOOKUP(C119,Settings!$F$5:$F$20,Settings!$G$5:$G$20))</f>
        <v>39370.078740157478</v>
      </c>
      <c r="L119" s="17">
        <v>500000000</v>
      </c>
      <c r="M119" s="16">
        <f>IF(N119=0,0,N119/LOOKUP(C119,Settings!$F$5:$F$20,Settings!$G$5:$G$20))</f>
        <v>2023.0056692913386</v>
      </c>
      <c r="N119" s="17">
        <v>25692172</v>
      </c>
      <c r="O119" s="18">
        <f t="shared" si="2"/>
        <v>37347.073070866143</v>
      </c>
      <c r="P119" s="18">
        <f t="shared" si="3"/>
        <v>474307828</v>
      </c>
      <c r="Q119" s="13" t="s">
        <v>202</v>
      </c>
      <c r="R119" s="13" t="s">
        <v>195</v>
      </c>
      <c r="S119" s="14">
        <v>45932</v>
      </c>
      <c r="T119" s="13" t="s">
        <v>30</v>
      </c>
      <c r="U119" s="13" t="s">
        <v>220</v>
      </c>
    </row>
    <row r="120" spans="1:21" x14ac:dyDescent="0.2">
      <c r="A120" s="19">
        <v>118</v>
      </c>
      <c r="B120" s="19" t="s">
        <v>182</v>
      </c>
      <c r="C120" s="20">
        <v>45990</v>
      </c>
      <c r="D120" s="19" t="s">
        <v>183</v>
      </c>
      <c r="E120" s="21"/>
      <c r="F120" s="19" t="s">
        <v>205</v>
      </c>
      <c r="G120" s="19" t="s">
        <v>185</v>
      </c>
      <c r="H120" s="19" t="s">
        <v>25</v>
      </c>
      <c r="I120" s="19" t="s">
        <v>194</v>
      </c>
      <c r="J120" s="19" t="s">
        <v>187</v>
      </c>
      <c r="K120" s="22">
        <f>IF(L120=0,0,L120/LOOKUP(C120,Settings!$F$5:$F$20,Settings!$G$5:$G$20))</f>
        <v>25000</v>
      </c>
      <c r="L120" s="23">
        <v>320000000</v>
      </c>
      <c r="M120" s="22">
        <f>IF(N120=0,0,N120/LOOKUP(C120,Settings!$F$5:$F$20,Settings!$G$5:$G$20))</f>
        <v>1905.6090624999999</v>
      </c>
      <c r="N120" s="23">
        <v>24391796</v>
      </c>
      <c r="O120" s="24">
        <f t="shared" si="2"/>
        <v>23094.3909375</v>
      </c>
      <c r="P120" s="24">
        <f t="shared" si="3"/>
        <v>295608204</v>
      </c>
      <c r="Q120" s="19" t="s">
        <v>28</v>
      </c>
      <c r="R120" s="19" t="s">
        <v>195</v>
      </c>
      <c r="S120" s="20">
        <v>46005</v>
      </c>
      <c r="T120" s="19" t="s">
        <v>30</v>
      </c>
      <c r="U120" s="19" t="s">
        <v>196</v>
      </c>
    </row>
    <row r="121" spans="1:21" x14ac:dyDescent="0.2">
      <c r="A121" s="13">
        <v>119</v>
      </c>
      <c r="B121" s="13" t="s">
        <v>182</v>
      </c>
      <c r="C121" s="14">
        <v>45991</v>
      </c>
      <c r="D121" s="13" t="s">
        <v>183</v>
      </c>
      <c r="E121" s="15"/>
      <c r="F121" s="13" t="s">
        <v>200</v>
      </c>
      <c r="G121" s="13" t="s">
        <v>185</v>
      </c>
      <c r="H121" s="13" t="s">
        <v>25</v>
      </c>
      <c r="I121" s="13" t="s">
        <v>215</v>
      </c>
      <c r="J121" s="13" t="s">
        <v>187</v>
      </c>
      <c r="K121" s="16">
        <f>IF(L121=0,0,L121/LOOKUP(C121,Settings!$F$5:$F$20,Settings!$G$5:$G$20))</f>
        <v>25000</v>
      </c>
      <c r="L121" s="17">
        <v>320000000</v>
      </c>
      <c r="M121" s="16">
        <f>IF(N121=0,0,N121/LOOKUP(C121,Settings!$F$5:$F$20,Settings!$G$5:$G$20))</f>
        <v>349.78640625000003</v>
      </c>
      <c r="N121" s="17">
        <v>4477266</v>
      </c>
      <c r="O121" s="18">
        <f t="shared" si="2"/>
        <v>24650.213593749999</v>
      </c>
      <c r="P121" s="18">
        <f t="shared" si="3"/>
        <v>315522734</v>
      </c>
      <c r="Q121" s="13" t="s">
        <v>202</v>
      </c>
      <c r="R121" s="13" t="s">
        <v>203</v>
      </c>
      <c r="S121" s="14">
        <v>46001</v>
      </c>
      <c r="T121" s="13" t="s">
        <v>30</v>
      </c>
      <c r="U121" s="15"/>
    </row>
    <row r="122" spans="1:21" x14ac:dyDescent="0.2">
      <c r="A122" s="19">
        <v>120</v>
      </c>
      <c r="B122" s="19" t="s">
        <v>182</v>
      </c>
      <c r="C122" s="20">
        <v>46006</v>
      </c>
      <c r="D122" s="19" t="s">
        <v>183</v>
      </c>
      <c r="E122" s="21"/>
      <c r="F122" s="19" t="s">
        <v>205</v>
      </c>
      <c r="G122" s="19" t="s">
        <v>185</v>
      </c>
      <c r="H122" s="19" t="s">
        <v>25</v>
      </c>
      <c r="I122" s="19" t="s">
        <v>194</v>
      </c>
      <c r="J122" s="19" t="s">
        <v>187</v>
      </c>
      <c r="K122" s="22">
        <f>IF(L122=0,0,L122/LOOKUP(C122,Settings!$F$5:$F$20,Settings!$G$5:$G$20))</f>
        <v>25000</v>
      </c>
      <c r="L122" s="23">
        <v>320000000</v>
      </c>
      <c r="M122" s="22">
        <f>IF(N122=0,0,N122/LOOKUP(C122,Settings!$F$5:$F$20,Settings!$G$5:$G$20))</f>
        <v>885.11953125000002</v>
      </c>
      <c r="N122" s="23">
        <v>11329530</v>
      </c>
      <c r="O122" s="24">
        <f t="shared" si="2"/>
        <v>24114.880468750001</v>
      </c>
      <c r="P122" s="24">
        <f t="shared" si="3"/>
        <v>308670470</v>
      </c>
      <c r="Q122" s="19" t="s">
        <v>202</v>
      </c>
      <c r="R122" s="19" t="s">
        <v>195</v>
      </c>
      <c r="S122" s="20">
        <v>46021</v>
      </c>
      <c r="T122" s="19" t="s">
        <v>191</v>
      </c>
      <c r="U122" s="19" t="s">
        <v>196</v>
      </c>
    </row>
    <row r="123" spans="1:21" x14ac:dyDescent="0.2">
      <c r="A123" s="13">
        <v>121</v>
      </c>
      <c r="B123" s="13" t="s">
        <v>182</v>
      </c>
      <c r="C123" s="14">
        <v>46036</v>
      </c>
      <c r="D123" s="13" t="s">
        <v>183</v>
      </c>
      <c r="E123" s="15"/>
      <c r="F123" s="13" t="s">
        <v>206</v>
      </c>
      <c r="G123" s="13" t="s">
        <v>185</v>
      </c>
      <c r="H123" s="13" t="s">
        <v>25</v>
      </c>
      <c r="I123" s="13" t="s">
        <v>194</v>
      </c>
      <c r="J123" s="13" t="s">
        <v>187</v>
      </c>
      <c r="K123" s="16">
        <f>IF(L123=0,0,L123/LOOKUP(C123,Settings!$F$5:$F$20,Settings!$G$5:$G$20))</f>
        <v>24902.723735408559</v>
      </c>
      <c r="L123" s="17">
        <v>320000000</v>
      </c>
      <c r="M123" s="16">
        <f>IF(N123=0,0,N123/LOOKUP(C123,Settings!$F$5:$F$20,Settings!$G$5:$G$20))</f>
        <v>1823.6335408560312</v>
      </c>
      <c r="N123" s="17">
        <v>23433691</v>
      </c>
      <c r="O123" s="18">
        <f t="shared" si="2"/>
        <v>23079.090194552529</v>
      </c>
      <c r="P123" s="18">
        <f t="shared" si="3"/>
        <v>296566309</v>
      </c>
      <c r="Q123" s="13" t="s">
        <v>202</v>
      </c>
      <c r="R123" s="13" t="s">
        <v>195</v>
      </c>
      <c r="S123" s="14">
        <v>46051</v>
      </c>
      <c r="T123" s="13" t="s">
        <v>191</v>
      </c>
      <c r="U123" s="13" t="s">
        <v>196</v>
      </c>
    </row>
    <row r="124" spans="1:21" x14ac:dyDescent="0.2">
      <c r="A124" s="25">
        <v>122</v>
      </c>
      <c r="B124" s="25" t="s">
        <v>21</v>
      </c>
      <c r="C124" s="26">
        <v>44767</v>
      </c>
      <c r="D124" s="25" t="s">
        <v>22</v>
      </c>
      <c r="E124" s="27"/>
      <c r="F124" s="25" t="s">
        <v>221</v>
      </c>
      <c r="G124" s="27"/>
      <c r="H124" s="25" t="s">
        <v>25</v>
      </c>
      <c r="I124" s="25" t="s">
        <v>222</v>
      </c>
      <c r="J124" s="25" t="s">
        <v>27</v>
      </c>
      <c r="K124" s="28"/>
      <c r="L124" s="29"/>
      <c r="M124" s="30">
        <f>IF(N124=0,0,N124/LOOKUP(C124,Settings!$F$5:$F$20,Settings!$G$5:$G$20))</f>
        <v>1081.6926267281106</v>
      </c>
      <c r="N124" s="31">
        <v>11736365</v>
      </c>
      <c r="O124" s="32">
        <f t="shared" si="2"/>
        <v>-1081.6926267281106</v>
      </c>
      <c r="P124" s="32">
        <f t="shared" si="3"/>
        <v>-11736365</v>
      </c>
      <c r="Q124" s="25" t="s">
        <v>223</v>
      </c>
      <c r="R124" s="25" t="s">
        <v>224</v>
      </c>
      <c r="S124" s="26">
        <v>44823</v>
      </c>
      <c r="T124" s="25" t="s">
        <v>30</v>
      </c>
      <c r="U124" s="25" t="s">
        <v>225</v>
      </c>
    </row>
    <row r="125" spans="1:21" x14ac:dyDescent="0.2">
      <c r="A125" s="25">
        <v>123</v>
      </c>
      <c r="B125" s="25" t="s">
        <v>21</v>
      </c>
      <c r="C125" s="26">
        <v>44798</v>
      </c>
      <c r="D125" s="25" t="s">
        <v>22</v>
      </c>
      <c r="E125" s="27"/>
      <c r="F125" s="25" t="s">
        <v>226</v>
      </c>
      <c r="G125" s="27"/>
      <c r="H125" s="25" t="s">
        <v>25</v>
      </c>
      <c r="I125" s="25" t="s">
        <v>222</v>
      </c>
      <c r="J125" s="25" t="s">
        <v>27</v>
      </c>
      <c r="K125" s="28"/>
      <c r="L125" s="29"/>
      <c r="M125" s="30">
        <f>IF(N125=0,0,N125/LOOKUP(C125,Settings!$F$5:$F$20,Settings!$G$5:$G$20))</f>
        <v>2764.4705990783409</v>
      </c>
      <c r="N125" s="31">
        <v>29994506</v>
      </c>
      <c r="O125" s="32">
        <f t="shared" si="2"/>
        <v>-2764.4705990783409</v>
      </c>
      <c r="P125" s="32">
        <f t="shared" si="3"/>
        <v>-29994506</v>
      </c>
      <c r="Q125" s="25" t="s">
        <v>223</v>
      </c>
      <c r="R125" s="25" t="s">
        <v>224</v>
      </c>
      <c r="S125" s="26">
        <v>44889</v>
      </c>
      <c r="T125" s="25" t="s">
        <v>30</v>
      </c>
      <c r="U125" s="25" t="s">
        <v>227</v>
      </c>
    </row>
    <row r="126" spans="1:21" x14ac:dyDescent="0.2">
      <c r="A126" s="25">
        <v>124</v>
      </c>
      <c r="B126" s="25" t="s">
        <v>32</v>
      </c>
      <c r="C126" s="26">
        <v>44798</v>
      </c>
      <c r="D126" s="25" t="s">
        <v>33</v>
      </c>
      <c r="E126" s="27"/>
      <c r="F126" s="25" t="s">
        <v>228</v>
      </c>
      <c r="G126" s="27"/>
      <c r="H126" s="25" t="s">
        <v>36</v>
      </c>
      <c r="I126" s="25" t="s">
        <v>222</v>
      </c>
      <c r="J126" s="25" t="s">
        <v>38</v>
      </c>
      <c r="K126" s="28"/>
      <c r="L126" s="29"/>
      <c r="M126" s="30">
        <f>IF(N126=0,0,N126/LOOKUP(C126,Settings!$F$5:$F$20,Settings!$G$5:$G$20))</f>
        <v>1796.6023041474655</v>
      </c>
      <c r="N126" s="31">
        <v>19493135</v>
      </c>
      <c r="O126" s="32">
        <f t="shared" si="2"/>
        <v>-1796.6023041474655</v>
      </c>
      <c r="P126" s="32">
        <f t="shared" si="3"/>
        <v>-19493135</v>
      </c>
      <c r="Q126" s="25" t="s">
        <v>223</v>
      </c>
      <c r="R126" s="25" t="s">
        <v>224</v>
      </c>
      <c r="S126" s="26">
        <v>44905</v>
      </c>
      <c r="T126" s="25" t="s">
        <v>30</v>
      </c>
      <c r="U126" s="25" t="s">
        <v>229</v>
      </c>
    </row>
    <row r="127" spans="1:21" x14ac:dyDescent="0.2">
      <c r="A127" s="25">
        <v>125</v>
      </c>
      <c r="B127" s="25" t="s">
        <v>21</v>
      </c>
      <c r="C127" s="26">
        <v>44829</v>
      </c>
      <c r="D127" s="25" t="s">
        <v>22</v>
      </c>
      <c r="E127" s="27"/>
      <c r="F127" s="25" t="s">
        <v>230</v>
      </c>
      <c r="G127" s="27"/>
      <c r="H127" s="25" t="s">
        <v>25</v>
      </c>
      <c r="I127" s="25" t="s">
        <v>222</v>
      </c>
      <c r="J127" s="25" t="s">
        <v>27</v>
      </c>
      <c r="K127" s="28"/>
      <c r="L127" s="29"/>
      <c r="M127" s="30">
        <f>IF(N127=0,0,N127/LOOKUP(C127,Settings!$F$5:$F$20,Settings!$G$5:$G$20))</f>
        <v>1820.1688479262673</v>
      </c>
      <c r="N127" s="31">
        <v>19748832</v>
      </c>
      <c r="O127" s="32">
        <f t="shared" si="2"/>
        <v>-1820.1688479262673</v>
      </c>
      <c r="P127" s="32">
        <f t="shared" si="3"/>
        <v>-19748832</v>
      </c>
      <c r="Q127" s="25" t="s">
        <v>223</v>
      </c>
      <c r="R127" s="25" t="s">
        <v>224</v>
      </c>
      <c r="S127" s="26">
        <v>44940</v>
      </c>
      <c r="T127" s="25" t="s">
        <v>30</v>
      </c>
      <c r="U127" s="25" t="s">
        <v>231</v>
      </c>
    </row>
    <row r="128" spans="1:21" x14ac:dyDescent="0.2">
      <c r="A128" s="25">
        <v>126</v>
      </c>
      <c r="B128" s="25" t="s">
        <v>32</v>
      </c>
      <c r="C128" s="26">
        <v>44829</v>
      </c>
      <c r="D128" s="25" t="s">
        <v>33</v>
      </c>
      <c r="E128" s="27"/>
      <c r="F128" s="25" t="s">
        <v>232</v>
      </c>
      <c r="G128" s="27"/>
      <c r="H128" s="25" t="s">
        <v>36</v>
      </c>
      <c r="I128" s="25" t="s">
        <v>222</v>
      </c>
      <c r="J128" s="25" t="s">
        <v>38</v>
      </c>
      <c r="K128" s="28"/>
      <c r="L128" s="29"/>
      <c r="M128" s="30">
        <f>IF(N128=0,0,N128/LOOKUP(C128,Settings!$F$5:$F$20,Settings!$G$5:$G$20))</f>
        <v>2912.8127188940093</v>
      </c>
      <c r="N128" s="31">
        <v>31604018</v>
      </c>
      <c r="O128" s="32">
        <f t="shared" si="2"/>
        <v>-2912.8127188940093</v>
      </c>
      <c r="P128" s="32">
        <f t="shared" si="3"/>
        <v>-31604018</v>
      </c>
      <c r="Q128" s="25" t="s">
        <v>223</v>
      </c>
      <c r="R128" s="25" t="s">
        <v>224</v>
      </c>
      <c r="S128" s="26">
        <v>44950</v>
      </c>
      <c r="T128" s="25" t="s">
        <v>30</v>
      </c>
      <c r="U128" s="25" t="s">
        <v>233</v>
      </c>
    </row>
    <row r="129" spans="1:21" x14ac:dyDescent="0.2">
      <c r="A129" s="25">
        <v>127</v>
      </c>
      <c r="B129" s="25" t="s">
        <v>21</v>
      </c>
      <c r="C129" s="26">
        <v>44859</v>
      </c>
      <c r="D129" s="25" t="s">
        <v>22</v>
      </c>
      <c r="E129" s="27"/>
      <c r="F129" s="25" t="s">
        <v>234</v>
      </c>
      <c r="G129" s="27"/>
      <c r="H129" s="25" t="s">
        <v>25</v>
      </c>
      <c r="I129" s="25" t="s">
        <v>222</v>
      </c>
      <c r="J129" s="25" t="s">
        <v>27</v>
      </c>
      <c r="K129" s="28"/>
      <c r="L129" s="29"/>
      <c r="M129" s="30">
        <f>IF(N129=0,0,N129/LOOKUP(C129,Settings!$F$5:$F$20,Settings!$G$5:$G$20))</f>
        <v>2444.7787330316742</v>
      </c>
      <c r="N129" s="31">
        <v>27014805</v>
      </c>
      <c r="O129" s="32">
        <f t="shared" si="2"/>
        <v>-2444.7787330316742</v>
      </c>
      <c r="P129" s="32">
        <f t="shared" si="3"/>
        <v>-27014805</v>
      </c>
      <c r="Q129" s="25" t="s">
        <v>223</v>
      </c>
      <c r="R129" s="25" t="s">
        <v>224</v>
      </c>
      <c r="S129" s="26">
        <v>45011</v>
      </c>
      <c r="T129" s="25" t="s">
        <v>30</v>
      </c>
      <c r="U129" s="25" t="s">
        <v>235</v>
      </c>
    </row>
    <row r="130" spans="1:21" x14ac:dyDescent="0.2">
      <c r="A130" s="25">
        <v>128</v>
      </c>
      <c r="B130" s="25" t="s">
        <v>32</v>
      </c>
      <c r="C130" s="26">
        <v>44859</v>
      </c>
      <c r="D130" s="25" t="s">
        <v>33</v>
      </c>
      <c r="E130" s="27"/>
      <c r="F130" s="25" t="s">
        <v>236</v>
      </c>
      <c r="G130" s="27"/>
      <c r="H130" s="25" t="s">
        <v>36</v>
      </c>
      <c r="I130" s="25" t="s">
        <v>222</v>
      </c>
      <c r="J130" s="25" t="s">
        <v>38</v>
      </c>
      <c r="K130" s="28"/>
      <c r="L130" s="29"/>
      <c r="M130" s="30">
        <f>IF(N130=0,0,N130/LOOKUP(C130,Settings!$F$5:$F$20,Settings!$G$5:$G$20))</f>
        <v>3175.5539366515836</v>
      </c>
      <c r="N130" s="31">
        <v>35089871</v>
      </c>
      <c r="O130" s="32">
        <f t="shared" si="2"/>
        <v>-3175.5539366515836</v>
      </c>
      <c r="P130" s="32">
        <f t="shared" si="3"/>
        <v>-35089871</v>
      </c>
      <c r="Q130" s="25" t="s">
        <v>223</v>
      </c>
      <c r="R130" s="25" t="s">
        <v>224</v>
      </c>
      <c r="S130" s="26">
        <v>45034</v>
      </c>
      <c r="T130" s="25" t="s">
        <v>30</v>
      </c>
      <c r="U130" s="25" t="s">
        <v>237</v>
      </c>
    </row>
    <row r="131" spans="1:21" x14ac:dyDescent="0.2">
      <c r="A131" s="25">
        <v>129</v>
      </c>
      <c r="B131" s="25" t="s">
        <v>41</v>
      </c>
      <c r="C131" s="26">
        <v>44859</v>
      </c>
      <c r="D131" s="25" t="s">
        <v>42</v>
      </c>
      <c r="E131" s="27"/>
      <c r="F131" s="25" t="s">
        <v>238</v>
      </c>
      <c r="G131" s="27"/>
      <c r="H131" s="25" t="s">
        <v>45</v>
      </c>
      <c r="I131" s="25" t="s">
        <v>222</v>
      </c>
      <c r="J131" s="25" t="s">
        <v>47</v>
      </c>
      <c r="K131" s="28"/>
      <c r="L131" s="29"/>
      <c r="M131" s="30">
        <f>IF(N131=0,0,N131/LOOKUP(C131,Settings!$F$5:$F$20,Settings!$G$5:$G$20))</f>
        <v>742.89475113122171</v>
      </c>
      <c r="N131" s="31">
        <v>8208987</v>
      </c>
      <c r="O131" s="32">
        <f t="shared" ref="O131:O194" si="4">K131-M131</f>
        <v>-742.89475113122171</v>
      </c>
      <c r="P131" s="32">
        <f t="shared" ref="P131:P194" si="5">L131-N131</f>
        <v>-8208987</v>
      </c>
      <c r="Q131" s="25" t="s">
        <v>223</v>
      </c>
      <c r="R131" s="25" t="s">
        <v>224</v>
      </c>
      <c r="S131" s="26">
        <v>45054</v>
      </c>
      <c r="T131" s="25" t="s">
        <v>30</v>
      </c>
      <c r="U131" s="25" t="s">
        <v>239</v>
      </c>
    </row>
    <row r="132" spans="1:21" x14ac:dyDescent="0.2">
      <c r="A132" s="25">
        <v>130</v>
      </c>
      <c r="B132" s="25" t="s">
        <v>21</v>
      </c>
      <c r="C132" s="26">
        <v>44890</v>
      </c>
      <c r="D132" s="25" t="s">
        <v>22</v>
      </c>
      <c r="E132" s="27"/>
      <c r="F132" s="25" t="s">
        <v>240</v>
      </c>
      <c r="G132" s="27"/>
      <c r="H132" s="25" t="s">
        <v>25</v>
      </c>
      <c r="I132" s="25" t="s">
        <v>222</v>
      </c>
      <c r="J132" s="25" t="s">
        <v>27</v>
      </c>
      <c r="K132" s="28"/>
      <c r="L132" s="29"/>
      <c r="M132" s="30">
        <f>IF(N132=0,0,N132/LOOKUP(C132,Settings!$F$5:$F$20,Settings!$G$5:$G$20))</f>
        <v>1968.5415384615385</v>
      </c>
      <c r="N132" s="31">
        <v>21752384</v>
      </c>
      <c r="O132" s="32">
        <f t="shared" si="4"/>
        <v>-1968.5415384615385</v>
      </c>
      <c r="P132" s="32">
        <f t="shared" si="5"/>
        <v>-21752384</v>
      </c>
      <c r="Q132" s="25" t="s">
        <v>223</v>
      </c>
      <c r="R132" s="25" t="s">
        <v>224</v>
      </c>
      <c r="S132" s="26">
        <v>45049</v>
      </c>
      <c r="T132" s="25" t="s">
        <v>30</v>
      </c>
      <c r="U132" s="25" t="s">
        <v>241</v>
      </c>
    </row>
    <row r="133" spans="1:21" x14ac:dyDescent="0.2">
      <c r="A133" s="25">
        <v>131</v>
      </c>
      <c r="B133" s="25" t="s">
        <v>32</v>
      </c>
      <c r="C133" s="26">
        <v>44890</v>
      </c>
      <c r="D133" s="25" t="s">
        <v>33</v>
      </c>
      <c r="E133" s="27"/>
      <c r="F133" s="25" t="s">
        <v>242</v>
      </c>
      <c r="G133" s="27"/>
      <c r="H133" s="25" t="s">
        <v>36</v>
      </c>
      <c r="I133" s="25" t="s">
        <v>222</v>
      </c>
      <c r="J133" s="25" t="s">
        <v>38</v>
      </c>
      <c r="K133" s="28"/>
      <c r="L133" s="29"/>
      <c r="M133" s="30">
        <f>IF(N133=0,0,N133/LOOKUP(C133,Settings!$F$5:$F$20,Settings!$G$5:$G$20))</f>
        <v>1522.8724886877828</v>
      </c>
      <c r="N133" s="31">
        <v>16827741</v>
      </c>
      <c r="O133" s="32">
        <f t="shared" si="4"/>
        <v>-1522.8724886877828</v>
      </c>
      <c r="P133" s="32">
        <f t="shared" si="5"/>
        <v>-16827741</v>
      </c>
      <c r="Q133" s="25" t="s">
        <v>223</v>
      </c>
      <c r="R133" s="25" t="s">
        <v>224</v>
      </c>
      <c r="S133" s="26">
        <v>45107</v>
      </c>
      <c r="T133" s="25" t="s">
        <v>30</v>
      </c>
      <c r="U133" s="25" t="s">
        <v>243</v>
      </c>
    </row>
    <row r="134" spans="1:21" x14ac:dyDescent="0.2">
      <c r="A134" s="25">
        <v>132</v>
      </c>
      <c r="B134" s="25" t="s">
        <v>41</v>
      </c>
      <c r="C134" s="26">
        <v>44890</v>
      </c>
      <c r="D134" s="25" t="s">
        <v>42</v>
      </c>
      <c r="E134" s="27"/>
      <c r="F134" s="25" t="s">
        <v>244</v>
      </c>
      <c r="G134" s="27"/>
      <c r="H134" s="25" t="s">
        <v>45</v>
      </c>
      <c r="I134" s="25" t="s">
        <v>222</v>
      </c>
      <c r="J134" s="25" t="s">
        <v>47</v>
      </c>
      <c r="K134" s="28"/>
      <c r="L134" s="29"/>
      <c r="M134" s="30">
        <f>IF(N134=0,0,N134/LOOKUP(C134,Settings!$F$5:$F$20,Settings!$G$5:$G$20))</f>
        <v>1532.5661538461538</v>
      </c>
      <c r="N134" s="31">
        <v>16934856</v>
      </c>
      <c r="O134" s="32">
        <f t="shared" si="4"/>
        <v>-1532.5661538461538</v>
      </c>
      <c r="P134" s="32">
        <f t="shared" si="5"/>
        <v>-16934856</v>
      </c>
      <c r="Q134" s="25" t="s">
        <v>223</v>
      </c>
      <c r="R134" s="25" t="s">
        <v>224</v>
      </c>
      <c r="S134" s="26">
        <v>45133</v>
      </c>
      <c r="T134" s="25" t="s">
        <v>30</v>
      </c>
      <c r="U134" s="25" t="s">
        <v>245</v>
      </c>
    </row>
    <row r="135" spans="1:21" x14ac:dyDescent="0.2">
      <c r="A135" s="25">
        <v>133</v>
      </c>
      <c r="B135" s="25" t="s">
        <v>21</v>
      </c>
      <c r="C135" s="26">
        <v>44920</v>
      </c>
      <c r="D135" s="25" t="s">
        <v>22</v>
      </c>
      <c r="E135" s="27"/>
      <c r="F135" s="25" t="s">
        <v>246</v>
      </c>
      <c r="G135" s="27"/>
      <c r="H135" s="25" t="s">
        <v>25</v>
      </c>
      <c r="I135" s="25" t="s">
        <v>222</v>
      </c>
      <c r="J135" s="25" t="s">
        <v>27</v>
      </c>
      <c r="K135" s="28"/>
      <c r="L135" s="29"/>
      <c r="M135" s="30">
        <f>IF(N135=0,0,N135/LOOKUP(C135,Settings!$F$5:$F$20,Settings!$G$5:$G$20))</f>
        <v>2744.6621719457012</v>
      </c>
      <c r="N135" s="31">
        <v>30328517</v>
      </c>
      <c r="O135" s="32">
        <f t="shared" si="4"/>
        <v>-2744.6621719457012</v>
      </c>
      <c r="P135" s="32">
        <f t="shared" si="5"/>
        <v>-30328517</v>
      </c>
      <c r="Q135" s="25" t="s">
        <v>223</v>
      </c>
      <c r="R135" s="25" t="s">
        <v>224</v>
      </c>
      <c r="S135" s="26">
        <v>45149</v>
      </c>
      <c r="T135" s="25" t="s">
        <v>30</v>
      </c>
      <c r="U135" s="25" t="s">
        <v>247</v>
      </c>
    </row>
    <row r="136" spans="1:21" x14ac:dyDescent="0.2">
      <c r="A136" s="25">
        <v>134</v>
      </c>
      <c r="B136" s="25" t="s">
        <v>32</v>
      </c>
      <c r="C136" s="26">
        <v>44920</v>
      </c>
      <c r="D136" s="25" t="s">
        <v>33</v>
      </c>
      <c r="E136" s="27"/>
      <c r="F136" s="25" t="s">
        <v>248</v>
      </c>
      <c r="G136" s="27"/>
      <c r="H136" s="25" t="s">
        <v>36</v>
      </c>
      <c r="I136" s="25" t="s">
        <v>222</v>
      </c>
      <c r="J136" s="25" t="s">
        <v>38</v>
      </c>
      <c r="K136" s="28"/>
      <c r="L136" s="29"/>
      <c r="M136" s="30">
        <f>IF(N136=0,0,N136/LOOKUP(C136,Settings!$F$5:$F$20,Settings!$G$5:$G$20))</f>
        <v>3919.7247963800905</v>
      </c>
      <c r="N136" s="31">
        <v>43312959</v>
      </c>
      <c r="O136" s="32">
        <f t="shared" si="4"/>
        <v>-3919.7247963800905</v>
      </c>
      <c r="P136" s="32">
        <f t="shared" si="5"/>
        <v>-43312959</v>
      </c>
      <c r="Q136" s="25" t="s">
        <v>223</v>
      </c>
      <c r="R136" s="25" t="s">
        <v>224</v>
      </c>
      <c r="S136" s="26">
        <v>45158</v>
      </c>
      <c r="T136" s="25" t="s">
        <v>30</v>
      </c>
      <c r="U136" s="25" t="s">
        <v>249</v>
      </c>
    </row>
    <row r="137" spans="1:21" x14ac:dyDescent="0.2">
      <c r="A137" s="25">
        <v>135</v>
      </c>
      <c r="B137" s="25" t="s">
        <v>41</v>
      </c>
      <c r="C137" s="26">
        <v>44920</v>
      </c>
      <c r="D137" s="25" t="s">
        <v>42</v>
      </c>
      <c r="E137" s="27"/>
      <c r="F137" s="25" t="s">
        <v>250</v>
      </c>
      <c r="G137" s="27"/>
      <c r="H137" s="25" t="s">
        <v>45</v>
      </c>
      <c r="I137" s="25" t="s">
        <v>222</v>
      </c>
      <c r="J137" s="25" t="s">
        <v>47</v>
      </c>
      <c r="K137" s="28"/>
      <c r="L137" s="29"/>
      <c r="M137" s="30">
        <f>IF(N137=0,0,N137/LOOKUP(C137,Settings!$F$5:$F$20,Settings!$G$5:$G$20))</f>
        <v>1465.8267873303168</v>
      </c>
      <c r="N137" s="31">
        <v>16197386</v>
      </c>
      <c r="O137" s="32">
        <f t="shared" si="4"/>
        <v>-1465.8267873303168</v>
      </c>
      <c r="P137" s="32">
        <f t="shared" si="5"/>
        <v>-16197386</v>
      </c>
      <c r="Q137" s="25" t="s">
        <v>223</v>
      </c>
      <c r="R137" s="25" t="s">
        <v>224</v>
      </c>
      <c r="S137" s="26">
        <v>45172</v>
      </c>
      <c r="T137" s="25" t="s">
        <v>30</v>
      </c>
      <c r="U137" s="25" t="s">
        <v>251</v>
      </c>
    </row>
    <row r="138" spans="1:21" x14ac:dyDescent="0.2">
      <c r="A138" s="25">
        <v>136</v>
      </c>
      <c r="B138" s="25" t="s">
        <v>50</v>
      </c>
      <c r="C138" s="26">
        <v>44920</v>
      </c>
      <c r="D138" s="25" t="s">
        <v>51</v>
      </c>
      <c r="E138" s="27"/>
      <c r="F138" s="25" t="s">
        <v>252</v>
      </c>
      <c r="G138" s="27"/>
      <c r="H138" s="25" t="s">
        <v>25</v>
      </c>
      <c r="I138" s="25" t="s">
        <v>222</v>
      </c>
      <c r="J138" s="25" t="s">
        <v>55</v>
      </c>
      <c r="K138" s="28"/>
      <c r="L138" s="29"/>
      <c r="M138" s="30">
        <f>IF(N138=0,0,N138/LOOKUP(C138,Settings!$F$5:$F$20,Settings!$G$5:$G$20))</f>
        <v>541.48923076923074</v>
      </c>
      <c r="N138" s="31">
        <v>5983456</v>
      </c>
      <c r="O138" s="32">
        <f t="shared" si="4"/>
        <v>-541.48923076923074</v>
      </c>
      <c r="P138" s="32">
        <f t="shared" si="5"/>
        <v>-5983456</v>
      </c>
      <c r="Q138" s="25" t="s">
        <v>223</v>
      </c>
      <c r="R138" s="25" t="s">
        <v>224</v>
      </c>
      <c r="S138" s="26">
        <v>45219</v>
      </c>
      <c r="T138" s="25" t="s">
        <v>30</v>
      </c>
      <c r="U138" s="25" t="s">
        <v>253</v>
      </c>
    </row>
    <row r="139" spans="1:21" x14ac:dyDescent="0.2">
      <c r="A139" s="25">
        <v>137</v>
      </c>
      <c r="B139" s="25" t="s">
        <v>21</v>
      </c>
      <c r="C139" s="26">
        <v>44951</v>
      </c>
      <c r="D139" s="25" t="s">
        <v>22</v>
      </c>
      <c r="E139" s="27"/>
      <c r="F139" s="25" t="s">
        <v>254</v>
      </c>
      <c r="G139" s="27"/>
      <c r="H139" s="25" t="s">
        <v>25</v>
      </c>
      <c r="I139" s="25" t="s">
        <v>222</v>
      </c>
      <c r="J139" s="25" t="s">
        <v>27</v>
      </c>
      <c r="K139" s="28"/>
      <c r="L139" s="29"/>
      <c r="M139" s="30">
        <f>IF(N139=0,0,N139/LOOKUP(C139,Settings!$F$5:$F$20,Settings!$G$5:$G$20))</f>
        <v>1706.5730357142857</v>
      </c>
      <c r="N139" s="31">
        <v>19113618</v>
      </c>
      <c r="O139" s="32">
        <f t="shared" si="4"/>
        <v>-1706.5730357142857</v>
      </c>
      <c r="P139" s="32">
        <f t="shared" si="5"/>
        <v>-19113618</v>
      </c>
      <c r="Q139" s="25" t="s">
        <v>223</v>
      </c>
      <c r="R139" s="25" t="s">
        <v>224</v>
      </c>
      <c r="S139" s="26">
        <v>45239</v>
      </c>
      <c r="T139" s="25" t="s">
        <v>30</v>
      </c>
      <c r="U139" s="25" t="s">
        <v>255</v>
      </c>
    </row>
    <row r="140" spans="1:21" x14ac:dyDescent="0.2">
      <c r="A140" s="25">
        <v>138</v>
      </c>
      <c r="B140" s="25" t="s">
        <v>32</v>
      </c>
      <c r="C140" s="26">
        <v>44951</v>
      </c>
      <c r="D140" s="25" t="s">
        <v>33</v>
      </c>
      <c r="E140" s="27"/>
      <c r="F140" s="25" t="s">
        <v>256</v>
      </c>
      <c r="G140" s="27"/>
      <c r="H140" s="25" t="s">
        <v>36</v>
      </c>
      <c r="I140" s="25" t="s">
        <v>222</v>
      </c>
      <c r="J140" s="25" t="s">
        <v>38</v>
      </c>
      <c r="K140" s="28"/>
      <c r="L140" s="29"/>
      <c r="M140" s="30">
        <f>IF(N140=0,0,N140/LOOKUP(C140,Settings!$F$5:$F$20,Settings!$G$5:$G$20))</f>
        <v>3332.8375000000001</v>
      </c>
      <c r="N140" s="31">
        <v>37327780</v>
      </c>
      <c r="O140" s="32">
        <f t="shared" si="4"/>
        <v>-3332.8375000000001</v>
      </c>
      <c r="P140" s="32">
        <f t="shared" si="5"/>
        <v>-37327780</v>
      </c>
      <c r="Q140" s="25" t="s">
        <v>223</v>
      </c>
      <c r="R140" s="25" t="s">
        <v>224</v>
      </c>
      <c r="S140" s="26">
        <v>45269</v>
      </c>
      <c r="T140" s="25" t="s">
        <v>30</v>
      </c>
      <c r="U140" s="25" t="s">
        <v>257</v>
      </c>
    </row>
    <row r="141" spans="1:21" x14ac:dyDescent="0.2">
      <c r="A141" s="25">
        <v>139</v>
      </c>
      <c r="B141" s="25" t="s">
        <v>41</v>
      </c>
      <c r="C141" s="26">
        <v>44951</v>
      </c>
      <c r="D141" s="25" t="s">
        <v>42</v>
      </c>
      <c r="E141" s="27"/>
      <c r="F141" s="25" t="s">
        <v>258</v>
      </c>
      <c r="G141" s="27"/>
      <c r="H141" s="25" t="s">
        <v>45</v>
      </c>
      <c r="I141" s="25" t="s">
        <v>222</v>
      </c>
      <c r="J141" s="25" t="s">
        <v>47</v>
      </c>
      <c r="K141" s="28"/>
      <c r="L141" s="29"/>
      <c r="M141" s="30">
        <f>IF(N141=0,0,N141/LOOKUP(C141,Settings!$F$5:$F$20,Settings!$G$5:$G$20))</f>
        <v>1428.6595535714287</v>
      </c>
      <c r="N141" s="31">
        <v>16000987</v>
      </c>
      <c r="O141" s="32">
        <f t="shared" si="4"/>
        <v>-1428.6595535714287</v>
      </c>
      <c r="P141" s="32">
        <f t="shared" si="5"/>
        <v>-16000987</v>
      </c>
      <c r="Q141" s="25" t="s">
        <v>223</v>
      </c>
      <c r="R141" s="25" t="s">
        <v>224</v>
      </c>
      <c r="S141" s="26">
        <v>45274</v>
      </c>
      <c r="T141" s="25" t="s">
        <v>30</v>
      </c>
      <c r="U141" s="25" t="s">
        <v>259</v>
      </c>
    </row>
    <row r="142" spans="1:21" x14ac:dyDescent="0.2">
      <c r="A142" s="25">
        <v>140</v>
      </c>
      <c r="B142" s="25" t="s">
        <v>50</v>
      </c>
      <c r="C142" s="26">
        <v>44951</v>
      </c>
      <c r="D142" s="25" t="s">
        <v>51</v>
      </c>
      <c r="E142" s="27"/>
      <c r="F142" s="25" t="s">
        <v>260</v>
      </c>
      <c r="G142" s="27"/>
      <c r="H142" s="25" t="s">
        <v>25</v>
      </c>
      <c r="I142" s="25" t="s">
        <v>222</v>
      </c>
      <c r="J142" s="25" t="s">
        <v>55</v>
      </c>
      <c r="K142" s="28"/>
      <c r="L142" s="29"/>
      <c r="M142" s="30">
        <f>IF(N142=0,0,N142/LOOKUP(C142,Settings!$F$5:$F$20,Settings!$G$5:$G$20))</f>
        <v>1239.3660714285713</v>
      </c>
      <c r="N142" s="31">
        <v>13880900</v>
      </c>
      <c r="O142" s="32">
        <f t="shared" si="4"/>
        <v>-1239.3660714285713</v>
      </c>
      <c r="P142" s="32">
        <f t="shared" si="5"/>
        <v>-13880900</v>
      </c>
      <c r="Q142" s="25" t="s">
        <v>223</v>
      </c>
      <c r="R142" s="25" t="s">
        <v>224</v>
      </c>
      <c r="S142" s="26">
        <v>45277</v>
      </c>
      <c r="T142" s="25" t="s">
        <v>30</v>
      </c>
      <c r="U142" s="25" t="s">
        <v>261</v>
      </c>
    </row>
    <row r="143" spans="1:21" x14ac:dyDescent="0.2">
      <c r="A143" s="25">
        <v>141</v>
      </c>
      <c r="B143" s="25" t="s">
        <v>21</v>
      </c>
      <c r="C143" s="26">
        <v>44982</v>
      </c>
      <c r="D143" s="25" t="s">
        <v>22</v>
      </c>
      <c r="E143" s="27"/>
      <c r="F143" s="25" t="s">
        <v>262</v>
      </c>
      <c r="G143" s="27"/>
      <c r="H143" s="25" t="s">
        <v>25</v>
      </c>
      <c r="I143" s="25" t="s">
        <v>222</v>
      </c>
      <c r="J143" s="25" t="s">
        <v>27</v>
      </c>
      <c r="K143" s="28"/>
      <c r="L143" s="29"/>
      <c r="M143" s="30">
        <f>IF(N143=0,0,N143/LOOKUP(C143,Settings!$F$5:$F$20,Settings!$G$5:$G$20))</f>
        <v>2043.4846428571429</v>
      </c>
      <c r="N143" s="31">
        <v>22887028</v>
      </c>
      <c r="O143" s="32">
        <f t="shared" si="4"/>
        <v>-2043.4846428571429</v>
      </c>
      <c r="P143" s="32">
        <f t="shared" si="5"/>
        <v>-22887028</v>
      </c>
      <c r="Q143" s="25" t="s">
        <v>223</v>
      </c>
      <c r="R143" s="25" t="s">
        <v>224</v>
      </c>
      <c r="S143" s="26">
        <v>45297</v>
      </c>
      <c r="T143" s="25" t="s">
        <v>30</v>
      </c>
      <c r="U143" s="25" t="s">
        <v>263</v>
      </c>
    </row>
    <row r="144" spans="1:21" x14ac:dyDescent="0.2">
      <c r="A144" s="25">
        <v>142</v>
      </c>
      <c r="B144" s="25" t="s">
        <v>32</v>
      </c>
      <c r="C144" s="26">
        <v>44982</v>
      </c>
      <c r="D144" s="25" t="s">
        <v>33</v>
      </c>
      <c r="E144" s="27"/>
      <c r="F144" s="25" t="s">
        <v>264</v>
      </c>
      <c r="G144" s="27"/>
      <c r="H144" s="25" t="s">
        <v>36</v>
      </c>
      <c r="I144" s="25" t="s">
        <v>222</v>
      </c>
      <c r="J144" s="25" t="s">
        <v>38</v>
      </c>
      <c r="K144" s="28"/>
      <c r="L144" s="29"/>
      <c r="M144" s="30">
        <f>IF(N144=0,0,N144/LOOKUP(C144,Settings!$F$5:$F$20,Settings!$G$5:$G$20))</f>
        <v>3223.0456250000002</v>
      </c>
      <c r="N144" s="31">
        <v>36098111</v>
      </c>
      <c r="O144" s="32">
        <f t="shared" si="4"/>
        <v>-3223.0456250000002</v>
      </c>
      <c r="P144" s="32">
        <f t="shared" si="5"/>
        <v>-36098111</v>
      </c>
      <c r="Q144" s="25" t="s">
        <v>223</v>
      </c>
      <c r="R144" s="25" t="s">
        <v>224</v>
      </c>
      <c r="S144" s="26">
        <v>45300</v>
      </c>
      <c r="T144" s="25" t="s">
        <v>30</v>
      </c>
      <c r="U144" s="25" t="s">
        <v>265</v>
      </c>
    </row>
    <row r="145" spans="1:21" x14ac:dyDescent="0.2">
      <c r="A145" s="25">
        <v>143</v>
      </c>
      <c r="B145" s="25" t="s">
        <v>41</v>
      </c>
      <c r="C145" s="26">
        <v>44982</v>
      </c>
      <c r="D145" s="25" t="s">
        <v>42</v>
      </c>
      <c r="E145" s="27"/>
      <c r="F145" s="25" t="s">
        <v>266</v>
      </c>
      <c r="G145" s="27"/>
      <c r="H145" s="25" t="s">
        <v>45</v>
      </c>
      <c r="I145" s="25" t="s">
        <v>222</v>
      </c>
      <c r="J145" s="25" t="s">
        <v>47</v>
      </c>
      <c r="K145" s="28"/>
      <c r="L145" s="29"/>
      <c r="M145" s="30">
        <f>IF(N145=0,0,N145/LOOKUP(C145,Settings!$F$5:$F$20,Settings!$G$5:$G$20))</f>
        <v>1595.5434821428571</v>
      </c>
      <c r="N145" s="31">
        <v>17870087</v>
      </c>
      <c r="O145" s="32">
        <f t="shared" si="4"/>
        <v>-1595.5434821428571</v>
      </c>
      <c r="P145" s="32">
        <f t="shared" si="5"/>
        <v>-17870087</v>
      </c>
      <c r="Q145" s="25" t="s">
        <v>223</v>
      </c>
      <c r="R145" s="25" t="s">
        <v>224</v>
      </c>
      <c r="S145" s="26">
        <v>45322</v>
      </c>
      <c r="T145" s="25" t="s">
        <v>30</v>
      </c>
      <c r="U145" s="25" t="s">
        <v>267</v>
      </c>
    </row>
    <row r="146" spans="1:21" x14ac:dyDescent="0.2">
      <c r="A146" s="25">
        <v>144</v>
      </c>
      <c r="B146" s="25" t="s">
        <v>50</v>
      </c>
      <c r="C146" s="26">
        <v>44982</v>
      </c>
      <c r="D146" s="25" t="s">
        <v>51</v>
      </c>
      <c r="E146" s="27"/>
      <c r="F146" s="25" t="s">
        <v>268</v>
      </c>
      <c r="G146" s="27"/>
      <c r="H146" s="25" t="s">
        <v>25</v>
      </c>
      <c r="I146" s="25" t="s">
        <v>222</v>
      </c>
      <c r="J146" s="25" t="s">
        <v>55</v>
      </c>
      <c r="K146" s="28"/>
      <c r="L146" s="29"/>
      <c r="M146" s="30">
        <f>IF(N146=0,0,N146/LOOKUP(C146,Settings!$F$5:$F$20,Settings!$G$5:$G$20))</f>
        <v>652.44071428571431</v>
      </c>
      <c r="N146" s="31">
        <v>7307336</v>
      </c>
      <c r="O146" s="32">
        <f t="shared" si="4"/>
        <v>-652.44071428571431</v>
      </c>
      <c r="P146" s="32">
        <f t="shared" si="5"/>
        <v>-7307336</v>
      </c>
      <c r="Q146" s="25" t="s">
        <v>223</v>
      </c>
      <c r="R146" s="25" t="s">
        <v>224</v>
      </c>
      <c r="S146" s="26">
        <v>45336</v>
      </c>
      <c r="T146" s="25" t="s">
        <v>30</v>
      </c>
      <c r="U146" s="25" t="s">
        <v>269</v>
      </c>
    </row>
    <row r="147" spans="1:21" x14ac:dyDescent="0.2">
      <c r="A147" s="25">
        <v>145</v>
      </c>
      <c r="B147" s="25" t="s">
        <v>59</v>
      </c>
      <c r="C147" s="26">
        <v>44982</v>
      </c>
      <c r="D147" s="25" t="s">
        <v>60</v>
      </c>
      <c r="E147" s="27"/>
      <c r="F147" s="25" t="s">
        <v>252</v>
      </c>
      <c r="G147" s="27"/>
      <c r="H147" s="25" t="s">
        <v>36</v>
      </c>
      <c r="I147" s="25" t="s">
        <v>222</v>
      </c>
      <c r="J147" s="25" t="s">
        <v>64</v>
      </c>
      <c r="K147" s="28"/>
      <c r="L147" s="29"/>
      <c r="M147" s="30">
        <f>IF(N147=0,0,N147/LOOKUP(C147,Settings!$F$5:$F$20,Settings!$G$5:$G$20))</f>
        <v>671.93089285714291</v>
      </c>
      <c r="N147" s="31">
        <v>7525626</v>
      </c>
      <c r="O147" s="32">
        <f t="shared" si="4"/>
        <v>-671.93089285714291</v>
      </c>
      <c r="P147" s="32">
        <f t="shared" si="5"/>
        <v>-7525626</v>
      </c>
      <c r="Q147" s="25" t="s">
        <v>223</v>
      </c>
      <c r="R147" s="25" t="s">
        <v>224</v>
      </c>
      <c r="S147" s="26">
        <v>45351</v>
      </c>
      <c r="T147" s="25" t="s">
        <v>30</v>
      </c>
      <c r="U147" s="25" t="s">
        <v>253</v>
      </c>
    </row>
    <row r="148" spans="1:21" x14ac:dyDescent="0.2">
      <c r="A148" s="33">
        <v>146</v>
      </c>
      <c r="B148" s="33" t="s">
        <v>21</v>
      </c>
      <c r="C148" s="34">
        <v>44990</v>
      </c>
      <c r="D148" s="33" t="s">
        <v>22</v>
      </c>
      <c r="E148" s="35"/>
      <c r="F148" s="33" t="s">
        <v>270</v>
      </c>
      <c r="G148" s="35"/>
      <c r="H148" s="33" t="s">
        <v>25</v>
      </c>
      <c r="I148" s="33" t="s">
        <v>222</v>
      </c>
      <c r="J148" s="33" t="s">
        <v>27</v>
      </c>
      <c r="K148" s="36"/>
      <c r="L148" s="37"/>
      <c r="M148" s="38">
        <f>IF(N148=0,0,N148/LOOKUP(C148,Settings!$F$5:$F$20,Settings!$G$5:$G$20))</f>
        <v>2985.7212797619059</v>
      </c>
      <c r="N148" s="38">
        <f>'Proekt vaqt va Risk'!T4-(N124+N125+N127+N129+N132+N135+N139+N143)</f>
        <v>33440078.333333343</v>
      </c>
      <c r="O148" s="39">
        <f t="shared" si="4"/>
        <v>-2985.7212797619059</v>
      </c>
      <c r="P148" s="39">
        <f t="shared" si="5"/>
        <v>-33440078.333333343</v>
      </c>
      <c r="Q148" s="33" t="s">
        <v>223</v>
      </c>
      <c r="R148" s="33" t="s">
        <v>224</v>
      </c>
      <c r="S148" s="34">
        <v>45362</v>
      </c>
      <c r="T148" s="33" t="s">
        <v>30</v>
      </c>
      <c r="U148" s="33" t="s">
        <v>271</v>
      </c>
    </row>
    <row r="149" spans="1:21" x14ac:dyDescent="0.2">
      <c r="A149" s="25">
        <v>147</v>
      </c>
      <c r="B149" s="25" t="s">
        <v>32</v>
      </c>
      <c r="C149" s="26">
        <v>45010</v>
      </c>
      <c r="D149" s="25" t="s">
        <v>33</v>
      </c>
      <c r="E149" s="27"/>
      <c r="F149" s="25" t="s">
        <v>272</v>
      </c>
      <c r="G149" s="27"/>
      <c r="H149" s="25" t="s">
        <v>36</v>
      </c>
      <c r="I149" s="25" t="s">
        <v>222</v>
      </c>
      <c r="J149" s="25" t="s">
        <v>38</v>
      </c>
      <c r="K149" s="28"/>
      <c r="L149" s="29"/>
      <c r="M149" s="30">
        <f>IF(N149=0,0,N149/LOOKUP(C149,Settings!$F$5:$F$20,Settings!$G$5:$G$20))</f>
        <v>3686.1946428571428</v>
      </c>
      <c r="N149" s="31">
        <v>41285380</v>
      </c>
      <c r="O149" s="32">
        <f t="shared" si="4"/>
        <v>-3686.1946428571428</v>
      </c>
      <c r="P149" s="32">
        <f t="shared" si="5"/>
        <v>-41285380</v>
      </c>
      <c r="Q149" s="25" t="s">
        <v>223</v>
      </c>
      <c r="R149" s="25" t="s">
        <v>224</v>
      </c>
      <c r="S149" s="26">
        <v>45364</v>
      </c>
      <c r="T149" s="25" t="s">
        <v>30</v>
      </c>
      <c r="U149" s="25" t="s">
        <v>273</v>
      </c>
    </row>
    <row r="150" spans="1:21" x14ac:dyDescent="0.2">
      <c r="A150" s="25">
        <v>148</v>
      </c>
      <c r="B150" s="25" t="s">
        <v>41</v>
      </c>
      <c r="C150" s="26">
        <v>45010</v>
      </c>
      <c r="D150" s="25" t="s">
        <v>42</v>
      </c>
      <c r="E150" s="27"/>
      <c r="F150" s="25" t="s">
        <v>274</v>
      </c>
      <c r="G150" s="27"/>
      <c r="H150" s="25" t="s">
        <v>45</v>
      </c>
      <c r="I150" s="25" t="s">
        <v>222</v>
      </c>
      <c r="J150" s="25" t="s">
        <v>47</v>
      </c>
      <c r="K150" s="28"/>
      <c r="L150" s="29"/>
      <c r="M150" s="30">
        <f>IF(N150=0,0,N150/LOOKUP(C150,Settings!$F$5:$F$20,Settings!$G$5:$G$20))</f>
        <v>723.75008928571424</v>
      </c>
      <c r="N150" s="31">
        <v>8106001</v>
      </c>
      <c r="O150" s="32">
        <f t="shared" si="4"/>
        <v>-723.75008928571424</v>
      </c>
      <c r="P150" s="32">
        <f t="shared" si="5"/>
        <v>-8106001</v>
      </c>
      <c r="Q150" s="25" t="s">
        <v>223</v>
      </c>
      <c r="R150" s="25" t="s">
        <v>224</v>
      </c>
      <c r="S150" s="26">
        <v>45406</v>
      </c>
      <c r="T150" s="25" t="s">
        <v>30</v>
      </c>
      <c r="U150" s="25" t="s">
        <v>275</v>
      </c>
    </row>
    <row r="151" spans="1:21" x14ac:dyDescent="0.2">
      <c r="A151" s="25">
        <v>149</v>
      </c>
      <c r="B151" s="25" t="s">
        <v>50</v>
      </c>
      <c r="C151" s="26">
        <v>45010</v>
      </c>
      <c r="D151" s="25" t="s">
        <v>51</v>
      </c>
      <c r="E151" s="27"/>
      <c r="F151" s="25" t="s">
        <v>276</v>
      </c>
      <c r="G151" s="27"/>
      <c r="H151" s="25" t="s">
        <v>25</v>
      </c>
      <c r="I151" s="25" t="s">
        <v>222</v>
      </c>
      <c r="J151" s="25" t="s">
        <v>55</v>
      </c>
      <c r="K151" s="28"/>
      <c r="L151" s="29"/>
      <c r="M151" s="30">
        <f>IF(N151=0,0,N151/LOOKUP(C151,Settings!$F$5:$F$20,Settings!$G$5:$G$20))</f>
        <v>977.47446428571425</v>
      </c>
      <c r="N151" s="31">
        <v>10947714</v>
      </c>
      <c r="O151" s="32">
        <f t="shared" si="4"/>
        <v>-977.47446428571425</v>
      </c>
      <c r="P151" s="32">
        <f t="shared" si="5"/>
        <v>-10947714</v>
      </c>
      <c r="Q151" s="25" t="s">
        <v>223</v>
      </c>
      <c r="R151" s="25" t="s">
        <v>224</v>
      </c>
      <c r="S151" s="26">
        <v>45420</v>
      </c>
      <c r="T151" s="25" t="s">
        <v>30</v>
      </c>
      <c r="U151" s="25" t="s">
        <v>277</v>
      </c>
    </row>
    <row r="152" spans="1:21" x14ac:dyDescent="0.2">
      <c r="A152" s="25">
        <v>150</v>
      </c>
      <c r="B152" s="25" t="s">
        <v>59</v>
      </c>
      <c r="C152" s="26">
        <v>45010</v>
      </c>
      <c r="D152" s="25" t="s">
        <v>60</v>
      </c>
      <c r="E152" s="27"/>
      <c r="F152" s="25" t="s">
        <v>260</v>
      </c>
      <c r="G152" s="27"/>
      <c r="H152" s="25" t="s">
        <v>36</v>
      </c>
      <c r="I152" s="25" t="s">
        <v>222</v>
      </c>
      <c r="J152" s="25" t="s">
        <v>64</v>
      </c>
      <c r="K152" s="28"/>
      <c r="L152" s="29"/>
      <c r="M152" s="30">
        <f>IF(N152=0,0,N152/LOOKUP(C152,Settings!$F$5:$F$20,Settings!$G$5:$G$20))</f>
        <v>1429.0455357142857</v>
      </c>
      <c r="N152" s="31">
        <v>16005310</v>
      </c>
      <c r="O152" s="32">
        <f t="shared" si="4"/>
        <v>-1429.0455357142857</v>
      </c>
      <c r="P152" s="32">
        <f t="shared" si="5"/>
        <v>-16005310</v>
      </c>
      <c r="Q152" s="25" t="s">
        <v>223</v>
      </c>
      <c r="R152" s="25" t="s">
        <v>224</v>
      </c>
      <c r="S152" s="26">
        <v>45448</v>
      </c>
      <c r="T152" s="25" t="s">
        <v>30</v>
      </c>
      <c r="U152" s="25" t="s">
        <v>261</v>
      </c>
    </row>
    <row r="153" spans="1:21" x14ac:dyDescent="0.2">
      <c r="A153" s="33">
        <v>151</v>
      </c>
      <c r="B153" s="33" t="s">
        <v>41</v>
      </c>
      <c r="C153" s="34">
        <v>45021</v>
      </c>
      <c r="D153" s="33" t="s">
        <v>42</v>
      </c>
      <c r="E153" s="35"/>
      <c r="F153" s="33" t="s">
        <v>270</v>
      </c>
      <c r="G153" s="35"/>
      <c r="H153" s="33" t="s">
        <v>45</v>
      </c>
      <c r="I153" s="33" t="s">
        <v>222</v>
      </c>
      <c r="J153" s="33" t="s">
        <v>47</v>
      </c>
      <c r="K153" s="36"/>
      <c r="L153" s="37"/>
      <c r="M153" s="38">
        <f>IF(N153=0,0,N153/LOOKUP(C153,Settings!$F$5:$F$20,Settings!$G$5:$G$20))</f>
        <v>10660.688741156056</v>
      </c>
      <c r="N153" s="38">
        <f>'Proekt vaqt va Risk'!T6-(N131+N134+N137+N141+N145+N150)</f>
        <v>120998817.21212125</v>
      </c>
      <c r="O153" s="39">
        <f t="shared" si="4"/>
        <v>-10660.688741156056</v>
      </c>
      <c r="P153" s="39">
        <f t="shared" si="5"/>
        <v>-120998817.21212125</v>
      </c>
      <c r="Q153" s="33" t="s">
        <v>223</v>
      </c>
      <c r="R153" s="33" t="s">
        <v>224</v>
      </c>
      <c r="S153" s="34">
        <v>45458</v>
      </c>
      <c r="T153" s="33" t="s">
        <v>30</v>
      </c>
      <c r="U153" s="33" t="s">
        <v>271</v>
      </c>
    </row>
    <row r="154" spans="1:21" x14ac:dyDescent="0.2">
      <c r="A154" s="25">
        <v>152</v>
      </c>
      <c r="B154" s="25" t="s">
        <v>32</v>
      </c>
      <c r="C154" s="26">
        <v>45041</v>
      </c>
      <c r="D154" s="25" t="s">
        <v>33</v>
      </c>
      <c r="E154" s="27"/>
      <c r="F154" s="25" t="s">
        <v>278</v>
      </c>
      <c r="G154" s="27"/>
      <c r="H154" s="25" t="s">
        <v>36</v>
      </c>
      <c r="I154" s="25" t="s">
        <v>222</v>
      </c>
      <c r="J154" s="25" t="s">
        <v>38</v>
      </c>
      <c r="K154" s="28"/>
      <c r="L154" s="29"/>
      <c r="M154" s="30">
        <f>IF(N154=0,0,N154/LOOKUP(C154,Settings!$F$5:$F$20,Settings!$G$5:$G$20))</f>
        <v>3337.6233480176211</v>
      </c>
      <c r="N154" s="31">
        <v>37882025</v>
      </c>
      <c r="O154" s="32">
        <f t="shared" si="4"/>
        <v>-3337.6233480176211</v>
      </c>
      <c r="P154" s="32">
        <f t="shared" si="5"/>
        <v>-37882025</v>
      </c>
      <c r="Q154" s="25" t="s">
        <v>223</v>
      </c>
      <c r="R154" s="25" t="s">
        <v>224</v>
      </c>
      <c r="S154" s="26">
        <v>45465</v>
      </c>
      <c r="T154" s="25" t="s">
        <v>30</v>
      </c>
      <c r="U154" s="25" t="s">
        <v>279</v>
      </c>
    </row>
    <row r="155" spans="1:21" x14ac:dyDescent="0.2">
      <c r="A155" s="25">
        <v>153</v>
      </c>
      <c r="B155" s="25" t="s">
        <v>50</v>
      </c>
      <c r="C155" s="26">
        <v>45041</v>
      </c>
      <c r="D155" s="25" t="s">
        <v>51</v>
      </c>
      <c r="E155" s="27"/>
      <c r="F155" s="25" t="s">
        <v>280</v>
      </c>
      <c r="G155" s="27"/>
      <c r="H155" s="25" t="s">
        <v>25</v>
      </c>
      <c r="I155" s="25" t="s">
        <v>222</v>
      </c>
      <c r="J155" s="25" t="s">
        <v>55</v>
      </c>
      <c r="K155" s="28"/>
      <c r="L155" s="29"/>
      <c r="M155" s="30">
        <f>IF(N155=0,0,N155/LOOKUP(C155,Settings!$F$5:$F$20,Settings!$G$5:$G$20))</f>
        <v>552.64607929515421</v>
      </c>
      <c r="N155" s="31">
        <v>6272533</v>
      </c>
      <c r="O155" s="32">
        <f t="shared" si="4"/>
        <v>-552.64607929515421</v>
      </c>
      <c r="P155" s="32">
        <f t="shared" si="5"/>
        <v>-6272533</v>
      </c>
      <c r="Q155" s="25" t="s">
        <v>223</v>
      </c>
      <c r="R155" s="25" t="s">
        <v>224</v>
      </c>
      <c r="S155" s="26">
        <v>45484</v>
      </c>
      <c r="T155" s="25" t="s">
        <v>30</v>
      </c>
      <c r="U155" s="25" t="s">
        <v>281</v>
      </c>
    </row>
    <row r="156" spans="1:21" x14ac:dyDescent="0.2">
      <c r="A156" s="25">
        <v>154</v>
      </c>
      <c r="B156" s="25" t="s">
        <v>59</v>
      </c>
      <c r="C156" s="26">
        <v>45041</v>
      </c>
      <c r="D156" s="25" t="s">
        <v>60</v>
      </c>
      <c r="E156" s="27"/>
      <c r="F156" s="25" t="s">
        <v>268</v>
      </c>
      <c r="G156" s="27"/>
      <c r="H156" s="25" t="s">
        <v>36</v>
      </c>
      <c r="I156" s="25" t="s">
        <v>222</v>
      </c>
      <c r="J156" s="25" t="s">
        <v>64</v>
      </c>
      <c r="K156" s="28"/>
      <c r="L156" s="29"/>
      <c r="M156" s="30">
        <f>IF(N156=0,0,N156/LOOKUP(C156,Settings!$F$5:$F$20,Settings!$G$5:$G$20))</f>
        <v>1225.994449339207</v>
      </c>
      <c r="N156" s="31">
        <v>13915037</v>
      </c>
      <c r="O156" s="32">
        <f t="shared" si="4"/>
        <v>-1225.994449339207</v>
      </c>
      <c r="P156" s="32">
        <f t="shared" si="5"/>
        <v>-13915037</v>
      </c>
      <c r="Q156" s="25" t="s">
        <v>223</v>
      </c>
      <c r="R156" s="25" t="s">
        <v>224</v>
      </c>
      <c r="S156" s="26">
        <v>45480</v>
      </c>
      <c r="T156" s="25" t="s">
        <v>30</v>
      </c>
      <c r="U156" s="25" t="s">
        <v>269</v>
      </c>
    </row>
    <row r="157" spans="1:21" x14ac:dyDescent="0.2">
      <c r="A157" s="25">
        <v>155</v>
      </c>
      <c r="B157" s="25" t="s">
        <v>68</v>
      </c>
      <c r="C157" s="26">
        <v>45041</v>
      </c>
      <c r="D157" s="25" t="s">
        <v>69</v>
      </c>
      <c r="E157" s="27"/>
      <c r="F157" s="25" t="s">
        <v>282</v>
      </c>
      <c r="G157" s="27"/>
      <c r="H157" s="25" t="s">
        <v>72</v>
      </c>
      <c r="I157" s="25" t="s">
        <v>222</v>
      </c>
      <c r="J157" s="25" t="s">
        <v>74</v>
      </c>
      <c r="K157" s="28"/>
      <c r="L157" s="29"/>
      <c r="M157" s="30">
        <f>IF(N157=0,0,N157/LOOKUP(C157,Settings!$F$5:$F$20,Settings!$G$5:$G$20))</f>
        <v>1209.0103964757709</v>
      </c>
      <c r="N157" s="31">
        <v>13722268</v>
      </c>
      <c r="O157" s="32">
        <f t="shared" si="4"/>
        <v>-1209.0103964757709</v>
      </c>
      <c r="P157" s="32">
        <f t="shared" si="5"/>
        <v>-13722268</v>
      </c>
      <c r="Q157" s="25" t="s">
        <v>223</v>
      </c>
      <c r="R157" s="25" t="s">
        <v>224</v>
      </c>
      <c r="S157" s="26">
        <v>45546</v>
      </c>
      <c r="T157" s="25" t="s">
        <v>30</v>
      </c>
      <c r="U157" s="25" t="s">
        <v>283</v>
      </c>
    </row>
    <row r="158" spans="1:21" x14ac:dyDescent="0.2">
      <c r="A158" s="33">
        <v>156</v>
      </c>
      <c r="B158" s="33" t="s">
        <v>50</v>
      </c>
      <c r="C158" s="34">
        <v>45051</v>
      </c>
      <c r="D158" s="33" t="s">
        <v>51</v>
      </c>
      <c r="E158" s="35"/>
      <c r="F158" s="33" t="s">
        <v>270</v>
      </c>
      <c r="G158" s="35"/>
      <c r="H158" s="33" t="s">
        <v>25</v>
      </c>
      <c r="I158" s="33" t="s">
        <v>222</v>
      </c>
      <c r="J158" s="33" t="s">
        <v>55</v>
      </c>
      <c r="K158" s="36"/>
      <c r="L158" s="37"/>
      <c r="M158" s="38">
        <f>IF(N158=0,0,N158/LOOKUP(C158,Settings!$F$5:$F$20,Settings!$G$5:$G$20))</f>
        <v>10457.721211231254</v>
      </c>
      <c r="N158" s="38">
        <f>'Proekt vaqt va Risk'!T7-(N138+N142+N146+N151+N155)</f>
        <v>118695135.74747473</v>
      </c>
      <c r="O158" s="39">
        <f t="shared" si="4"/>
        <v>-10457.721211231254</v>
      </c>
      <c r="P158" s="39">
        <f t="shared" si="5"/>
        <v>-118695135.74747473</v>
      </c>
      <c r="Q158" s="33" t="s">
        <v>223</v>
      </c>
      <c r="R158" s="33" t="s">
        <v>224</v>
      </c>
      <c r="S158" s="34">
        <v>45583</v>
      </c>
      <c r="T158" s="33" t="s">
        <v>30</v>
      </c>
      <c r="U158" s="33" t="s">
        <v>271</v>
      </c>
    </row>
    <row r="159" spans="1:21" x14ac:dyDescent="0.2">
      <c r="A159" s="25">
        <v>157</v>
      </c>
      <c r="B159" s="25" t="s">
        <v>32</v>
      </c>
      <c r="C159" s="26">
        <v>45071</v>
      </c>
      <c r="D159" s="25" t="s">
        <v>33</v>
      </c>
      <c r="E159" s="27"/>
      <c r="F159" s="25" t="s">
        <v>284</v>
      </c>
      <c r="G159" s="27"/>
      <c r="H159" s="25" t="s">
        <v>36</v>
      </c>
      <c r="I159" s="25" t="s">
        <v>222</v>
      </c>
      <c r="J159" s="25" t="s">
        <v>38</v>
      </c>
      <c r="K159" s="28"/>
      <c r="L159" s="29"/>
      <c r="M159" s="30">
        <f>IF(N159=0,0,N159/LOOKUP(C159,Settings!$F$5:$F$20,Settings!$G$5:$G$20))</f>
        <v>1343.4654625550661</v>
      </c>
      <c r="N159" s="31">
        <v>15248333</v>
      </c>
      <c r="O159" s="32">
        <f t="shared" si="4"/>
        <v>-1343.4654625550661</v>
      </c>
      <c r="P159" s="32">
        <f t="shared" si="5"/>
        <v>-15248333</v>
      </c>
      <c r="Q159" s="25" t="s">
        <v>223</v>
      </c>
      <c r="R159" s="25" t="s">
        <v>224</v>
      </c>
      <c r="S159" s="26">
        <v>45609</v>
      </c>
      <c r="T159" s="25" t="s">
        <v>30</v>
      </c>
      <c r="U159" s="25" t="s">
        <v>285</v>
      </c>
    </row>
    <row r="160" spans="1:21" x14ac:dyDescent="0.2">
      <c r="A160" s="25">
        <v>158</v>
      </c>
      <c r="B160" s="25" t="s">
        <v>59</v>
      </c>
      <c r="C160" s="26">
        <v>45071</v>
      </c>
      <c r="D160" s="25" t="s">
        <v>60</v>
      </c>
      <c r="E160" s="27"/>
      <c r="F160" s="25" t="s">
        <v>276</v>
      </c>
      <c r="G160" s="27"/>
      <c r="H160" s="25" t="s">
        <v>36</v>
      </c>
      <c r="I160" s="25" t="s">
        <v>222</v>
      </c>
      <c r="J160" s="25" t="s">
        <v>64</v>
      </c>
      <c r="K160" s="28"/>
      <c r="L160" s="29"/>
      <c r="M160" s="30">
        <f>IF(N160=0,0,N160/LOOKUP(C160,Settings!$F$5:$F$20,Settings!$G$5:$G$20))</f>
        <v>722.55920704845812</v>
      </c>
      <c r="N160" s="31">
        <v>8201047</v>
      </c>
      <c r="O160" s="32">
        <f t="shared" si="4"/>
        <v>-722.55920704845812</v>
      </c>
      <c r="P160" s="32">
        <f t="shared" si="5"/>
        <v>-8201047</v>
      </c>
      <c r="Q160" s="25" t="s">
        <v>223</v>
      </c>
      <c r="R160" s="25" t="s">
        <v>224</v>
      </c>
      <c r="S160" s="26">
        <v>45640</v>
      </c>
      <c r="T160" s="25" t="s">
        <v>30</v>
      </c>
      <c r="U160" s="25" t="s">
        <v>277</v>
      </c>
    </row>
    <row r="161" spans="1:21" x14ac:dyDescent="0.2">
      <c r="A161" s="25">
        <v>159</v>
      </c>
      <c r="B161" s="25" t="s">
        <v>68</v>
      </c>
      <c r="C161" s="26">
        <v>45071</v>
      </c>
      <c r="D161" s="25" t="s">
        <v>69</v>
      </c>
      <c r="E161" s="27"/>
      <c r="F161" s="25" t="s">
        <v>286</v>
      </c>
      <c r="G161" s="27"/>
      <c r="H161" s="25" t="s">
        <v>72</v>
      </c>
      <c r="I161" s="25" t="s">
        <v>222</v>
      </c>
      <c r="J161" s="25" t="s">
        <v>74</v>
      </c>
      <c r="K161" s="28"/>
      <c r="L161" s="29"/>
      <c r="M161" s="30">
        <f>IF(N161=0,0,N161/LOOKUP(C161,Settings!$F$5:$F$20,Settings!$G$5:$G$20))</f>
        <v>2395.3092511013215</v>
      </c>
      <c r="N161" s="31">
        <v>27186760</v>
      </c>
      <c r="O161" s="32">
        <f t="shared" si="4"/>
        <v>-2395.3092511013215</v>
      </c>
      <c r="P161" s="32">
        <f t="shared" si="5"/>
        <v>-27186760</v>
      </c>
      <c r="Q161" s="25" t="s">
        <v>223</v>
      </c>
      <c r="R161" s="25" t="s">
        <v>224</v>
      </c>
      <c r="S161" s="26">
        <v>45660</v>
      </c>
      <c r="T161" s="25" t="s">
        <v>30</v>
      </c>
      <c r="U161" s="25" t="s">
        <v>287</v>
      </c>
    </row>
    <row r="162" spans="1:21" x14ac:dyDescent="0.2">
      <c r="A162" s="33">
        <v>160</v>
      </c>
      <c r="B162" s="33" t="s">
        <v>32</v>
      </c>
      <c r="C162" s="34">
        <v>45082</v>
      </c>
      <c r="D162" s="33" t="s">
        <v>33</v>
      </c>
      <c r="E162" s="35"/>
      <c r="F162" s="33" t="s">
        <v>270</v>
      </c>
      <c r="G162" s="35"/>
      <c r="H162" s="33" t="s">
        <v>36</v>
      </c>
      <c r="I162" s="33" t="s">
        <v>222</v>
      </c>
      <c r="J162" s="33" t="s">
        <v>38</v>
      </c>
      <c r="K162" s="36"/>
      <c r="L162" s="37"/>
      <c r="M162" s="38">
        <f>IF(N162=0,0,N162/LOOKUP(C162,Settings!$F$5:$F$20,Settings!$G$5:$G$20))</f>
        <v>-14028.647782079237</v>
      </c>
      <c r="N162" s="38">
        <f>'Proekt vaqt va Risk'!T5-(N126+N128+N130+N133+N136+N140+N144+N149+N154+N159)</f>
        <v>-159225152.32659933</v>
      </c>
      <c r="O162" s="39">
        <f t="shared" si="4"/>
        <v>14028.647782079237</v>
      </c>
      <c r="P162" s="39">
        <f t="shared" si="5"/>
        <v>159225152.32659933</v>
      </c>
      <c r="Q162" s="33" t="s">
        <v>223</v>
      </c>
      <c r="R162" s="33" t="s">
        <v>224</v>
      </c>
      <c r="S162" s="34">
        <v>45676</v>
      </c>
      <c r="T162" s="33" t="s">
        <v>30</v>
      </c>
      <c r="U162" s="33" t="s">
        <v>271</v>
      </c>
    </row>
    <row r="163" spans="1:21" x14ac:dyDescent="0.2">
      <c r="A163" s="25">
        <v>161</v>
      </c>
      <c r="B163" s="25" t="s">
        <v>59</v>
      </c>
      <c r="C163" s="26">
        <v>45102</v>
      </c>
      <c r="D163" s="25" t="s">
        <v>60</v>
      </c>
      <c r="E163" s="27"/>
      <c r="F163" s="25" t="s">
        <v>280</v>
      </c>
      <c r="G163" s="27"/>
      <c r="H163" s="25" t="s">
        <v>36</v>
      </c>
      <c r="I163" s="25" t="s">
        <v>222</v>
      </c>
      <c r="J163" s="25" t="s">
        <v>64</v>
      </c>
      <c r="K163" s="28"/>
      <c r="L163" s="29"/>
      <c r="M163" s="30">
        <f>IF(N163=0,0,N163/LOOKUP(C163,Settings!$F$5:$F$20,Settings!$G$5:$G$20))</f>
        <v>311.60088105726874</v>
      </c>
      <c r="N163" s="31">
        <v>3536670</v>
      </c>
      <c r="O163" s="32">
        <f t="shared" si="4"/>
        <v>-311.60088105726874</v>
      </c>
      <c r="P163" s="32">
        <f t="shared" si="5"/>
        <v>-3536670</v>
      </c>
      <c r="Q163" s="25" t="s">
        <v>223</v>
      </c>
      <c r="R163" s="25" t="s">
        <v>224</v>
      </c>
      <c r="S163" s="26">
        <v>45689</v>
      </c>
      <c r="T163" s="25" t="s">
        <v>30</v>
      </c>
      <c r="U163" s="25" t="s">
        <v>281</v>
      </c>
    </row>
    <row r="164" spans="1:21" x14ac:dyDescent="0.2">
      <c r="A164" s="25">
        <v>162</v>
      </c>
      <c r="B164" s="25" t="s">
        <v>68</v>
      </c>
      <c r="C164" s="26">
        <v>45102</v>
      </c>
      <c r="D164" s="25" t="s">
        <v>69</v>
      </c>
      <c r="E164" s="27"/>
      <c r="F164" s="25" t="s">
        <v>288</v>
      </c>
      <c r="G164" s="27"/>
      <c r="H164" s="25" t="s">
        <v>72</v>
      </c>
      <c r="I164" s="25" t="s">
        <v>222</v>
      </c>
      <c r="J164" s="25" t="s">
        <v>74</v>
      </c>
      <c r="K164" s="28"/>
      <c r="L164" s="29"/>
      <c r="M164" s="30">
        <f>IF(N164=0,0,N164/LOOKUP(C164,Settings!$F$5:$F$20,Settings!$G$5:$G$20))</f>
        <v>2774.0018502202643</v>
      </c>
      <c r="N164" s="31">
        <v>31484921</v>
      </c>
      <c r="O164" s="32">
        <f t="shared" si="4"/>
        <v>-2774.0018502202643</v>
      </c>
      <c r="P164" s="32">
        <f t="shared" si="5"/>
        <v>-31484921</v>
      </c>
      <c r="Q164" s="25" t="s">
        <v>223</v>
      </c>
      <c r="R164" s="25" t="s">
        <v>224</v>
      </c>
      <c r="S164" s="26">
        <v>45696</v>
      </c>
      <c r="T164" s="25" t="s">
        <v>30</v>
      </c>
      <c r="U164" s="25" t="s">
        <v>289</v>
      </c>
    </row>
    <row r="165" spans="1:21" x14ac:dyDescent="0.2">
      <c r="A165" s="25">
        <v>163</v>
      </c>
      <c r="B165" s="25" t="s">
        <v>77</v>
      </c>
      <c r="C165" s="26">
        <v>45102</v>
      </c>
      <c r="D165" s="25" t="s">
        <v>78</v>
      </c>
      <c r="E165" s="27"/>
      <c r="F165" s="25" t="s">
        <v>290</v>
      </c>
      <c r="G165" s="27"/>
      <c r="H165" s="25" t="s">
        <v>45</v>
      </c>
      <c r="I165" s="25" t="s">
        <v>222</v>
      </c>
      <c r="J165" s="25" t="s">
        <v>82</v>
      </c>
      <c r="K165" s="28"/>
      <c r="L165" s="29"/>
      <c r="M165" s="30">
        <f>IF(N165=0,0,N165/LOOKUP(C165,Settings!$F$5:$F$20,Settings!$G$5:$G$20))</f>
        <v>2687.019383259912</v>
      </c>
      <c r="N165" s="31">
        <v>30497670</v>
      </c>
      <c r="O165" s="32">
        <f t="shared" si="4"/>
        <v>-2687.019383259912</v>
      </c>
      <c r="P165" s="32">
        <f t="shared" si="5"/>
        <v>-30497670</v>
      </c>
      <c r="Q165" s="25" t="s">
        <v>223</v>
      </c>
      <c r="R165" s="25" t="s">
        <v>224</v>
      </c>
      <c r="S165" s="26">
        <v>45731</v>
      </c>
      <c r="T165" s="25" t="s">
        <v>30</v>
      </c>
      <c r="U165" s="25" t="s">
        <v>291</v>
      </c>
    </row>
    <row r="166" spans="1:21" x14ac:dyDescent="0.2">
      <c r="A166" s="33">
        <v>164</v>
      </c>
      <c r="B166" s="33" t="s">
        <v>59</v>
      </c>
      <c r="C166" s="34">
        <v>45112</v>
      </c>
      <c r="D166" s="33" t="s">
        <v>60</v>
      </c>
      <c r="E166" s="35"/>
      <c r="F166" s="33" t="s">
        <v>270</v>
      </c>
      <c r="G166" s="35"/>
      <c r="H166" s="33" t="s">
        <v>36</v>
      </c>
      <c r="I166" s="33" t="s">
        <v>222</v>
      </c>
      <c r="J166" s="33" t="s">
        <v>64</v>
      </c>
      <c r="K166" s="36"/>
      <c r="L166" s="37"/>
      <c r="M166" s="38">
        <f>IF(N166=0,0,N166/LOOKUP(C166,Settings!$F$5:$F$20,Settings!$G$5:$G$20))</f>
        <v>7993.5053930610466</v>
      </c>
      <c r="N166" s="38">
        <f>'Proekt vaqt va Risk'!T8-(N147+N152+N156+N160+N163)</f>
        <v>91925312.020202041</v>
      </c>
      <c r="O166" s="39">
        <f t="shared" si="4"/>
        <v>-7993.5053930610466</v>
      </c>
      <c r="P166" s="39">
        <f t="shared" si="5"/>
        <v>-91925312.020202041</v>
      </c>
      <c r="Q166" s="33" t="s">
        <v>223</v>
      </c>
      <c r="R166" s="33" t="s">
        <v>224</v>
      </c>
      <c r="S166" s="34">
        <v>45734</v>
      </c>
      <c r="T166" s="33" t="s">
        <v>30</v>
      </c>
      <c r="U166" s="33" t="s">
        <v>271</v>
      </c>
    </row>
    <row r="167" spans="1:21" x14ac:dyDescent="0.2">
      <c r="A167" s="25">
        <v>165</v>
      </c>
      <c r="B167" s="25" t="s">
        <v>68</v>
      </c>
      <c r="C167" s="26">
        <v>45132</v>
      </c>
      <c r="D167" s="25" t="s">
        <v>69</v>
      </c>
      <c r="E167" s="27"/>
      <c r="F167" s="25" t="s">
        <v>292</v>
      </c>
      <c r="G167" s="27"/>
      <c r="H167" s="25" t="s">
        <v>72</v>
      </c>
      <c r="I167" s="25" t="s">
        <v>222</v>
      </c>
      <c r="J167" s="25" t="s">
        <v>74</v>
      </c>
      <c r="K167" s="28"/>
      <c r="L167" s="29"/>
      <c r="M167" s="30">
        <f>IF(N167=0,0,N167/LOOKUP(C167,Settings!$F$5:$F$20,Settings!$G$5:$G$20))</f>
        <v>1699.6109565217391</v>
      </c>
      <c r="N167" s="31">
        <v>19545526</v>
      </c>
      <c r="O167" s="32">
        <f t="shared" si="4"/>
        <v>-1699.6109565217391</v>
      </c>
      <c r="P167" s="32">
        <f t="shared" si="5"/>
        <v>-19545526</v>
      </c>
      <c r="Q167" s="25" t="s">
        <v>223</v>
      </c>
      <c r="R167" s="25" t="s">
        <v>224</v>
      </c>
      <c r="S167" s="26">
        <v>45761</v>
      </c>
      <c r="T167" s="25" t="s">
        <v>30</v>
      </c>
      <c r="U167" s="25" t="s">
        <v>293</v>
      </c>
    </row>
    <row r="168" spans="1:21" x14ac:dyDescent="0.2">
      <c r="A168" s="25">
        <v>166</v>
      </c>
      <c r="B168" s="25" t="s">
        <v>77</v>
      </c>
      <c r="C168" s="26">
        <v>45132</v>
      </c>
      <c r="D168" s="25" t="s">
        <v>78</v>
      </c>
      <c r="E168" s="27"/>
      <c r="F168" s="25" t="s">
        <v>294</v>
      </c>
      <c r="G168" s="27"/>
      <c r="H168" s="25" t="s">
        <v>45</v>
      </c>
      <c r="I168" s="25" t="s">
        <v>222</v>
      </c>
      <c r="J168" s="25" t="s">
        <v>82</v>
      </c>
      <c r="K168" s="28"/>
      <c r="L168" s="29"/>
      <c r="M168" s="30">
        <f>IF(N168=0,0,N168/LOOKUP(C168,Settings!$F$5:$F$20,Settings!$G$5:$G$20))</f>
        <v>3710.300956521739</v>
      </c>
      <c r="N168" s="31">
        <v>42668461</v>
      </c>
      <c r="O168" s="32">
        <f t="shared" si="4"/>
        <v>-3710.300956521739</v>
      </c>
      <c r="P168" s="32">
        <f t="shared" si="5"/>
        <v>-42668461</v>
      </c>
      <c r="Q168" s="25" t="s">
        <v>223</v>
      </c>
      <c r="R168" s="25" t="s">
        <v>224</v>
      </c>
      <c r="S168" s="26">
        <v>45834</v>
      </c>
      <c r="T168" s="25" t="s">
        <v>30</v>
      </c>
      <c r="U168" s="25" t="s">
        <v>295</v>
      </c>
    </row>
    <row r="169" spans="1:21" x14ac:dyDescent="0.2">
      <c r="A169" s="25">
        <v>167</v>
      </c>
      <c r="B169" s="25" t="s">
        <v>68</v>
      </c>
      <c r="C169" s="26">
        <v>45163</v>
      </c>
      <c r="D169" s="25" t="s">
        <v>69</v>
      </c>
      <c r="E169" s="27"/>
      <c r="F169" s="25" t="s">
        <v>296</v>
      </c>
      <c r="G169" s="27"/>
      <c r="H169" s="25" t="s">
        <v>72</v>
      </c>
      <c r="I169" s="25" t="s">
        <v>222</v>
      </c>
      <c r="J169" s="25" t="s">
        <v>74</v>
      </c>
      <c r="K169" s="28"/>
      <c r="L169" s="29"/>
      <c r="M169" s="30">
        <f>IF(N169=0,0,N169/LOOKUP(C169,Settings!$F$5:$F$20,Settings!$G$5:$G$20))</f>
        <v>2347.8155652173914</v>
      </c>
      <c r="N169" s="31">
        <v>26999879</v>
      </c>
      <c r="O169" s="32">
        <f t="shared" si="4"/>
        <v>-2347.8155652173914</v>
      </c>
      <c r="P169" s="32">
        <f t="shared" si="5"/>
        <v>-26999879</v>
      </c>
      <c r="Q169" s="25" t="s">
        <v>223</v>
      </c>
      <c r="R169" s="25" t="s">
        <v>224</v>
      </c>
      <c r="S169" s="26">
        <v>45835</v>
      </c>
      <c r="T169" s="25" t="s">
        <v>30</v>
      </c>
      <c r="U169" s="25" t="s">
        <v>297</v>
      </c>
    </row>
    <row r="170" spans="1:21" x14ac:dyDescent="0.2">
      <c r="A170" s="25">
        <v>168</v>
      </c>
      <c r="B170" s="25" t="s">
        <v>77</v>
      </c>
      <c r="C170" s="26">
        <v>45163</v>
      </c>
      <c r="D170" s="25" t="s">
        <v>78</v>
      </c>
      <c r="E170" s="27"/>
      <c r="F170" s="25" t="s">
        <v>298</v>
      </c>
      <c r="G170" s="27"/>
      <c r="H170" s="25" t="s">
        <v>45</v>
      </c>
      <c r="I170" s="25" t="s">
        <v>222</v>
      </c>
      <c r="J170" s="25" t="s">
        <v>82</v>
      </c>
      <c r="K170" s="28"/>
      <c r="L170" s="29"/>
      <c r="M170" s="30">
        <f>IF(N170=0,0,N170/LOOKUP(C170,Settings!$F$5:$F$20,Settings!$G$5:$G$20))</f>
        <v>3602.6228695652176</v>
      </c>
      <c r="N170" s="31">
        <v>41430163</v>
      </c>
      <c r="O170" s="32">
        <f t="shared" si="4"/>
        <v>-3602.6228695652176</v>
      </c>
      <c r="P170" s="32">
        <f t="shared" si="5"/>
        <v>-41430163</v>
      </c>
      <c r="Q170" s="25" t="s">
        <v>223</v>
      </c>
      <c r="R170" s="25" t="s">
        <v>224</v>
      </c>
      <c r="S170" s="26">
        <v>45906</v>
      </c>
      <c r="T170" s="25" t="s">
        <v>30</v>
      </c>
      <c r="U170" s="25" t="s">
        <v>299</v>
      </c>
    </row>
    <row r="171" spans="1:21" x14ac:dyDescent="0.2">
      <c r="A171" s="25">
        <v>169</v>
      </c>
      <c r="B171" s="25" t="s">
        <v>84</v>
      </c>
      <c r="C171" s="26">
        <v>45163</v>
      </c>
      <c r="D171" s="25" t="s">
        <v>85</v>
      </c>
      <c r="E171" s="27"/>
      <c r="F171" s="25" t="s">
        <v>238</v>
      </c>
      <c r="G171" s="27"/>
      <c r="H171" s="25" t="s">
        <v>25</v>
      </c>
      <c r="I171" s="25" t="s">
        <v>222</v>
      </c>
      <c r="J171" s="25" t="s">
        <v>89</v>
      </c>
      <c r="K171" s="28"/>
      <c r="L171" s="29"/>
      <c r="M171" s="30">
        <f>IF(N171=0,0,N171/LOOKUP(C171,Settings!$F$5:$F$20,Settings!$G$5:$G$20))</f>
        <v>1000.4784347826087</v>
      </c>
      <c r="N171" s="31">
        <v>11505502</v>
      </c>
      <c r="O171" s="32">
        <f t="shared" si="4"/>
        <v>-1000.4784347826087</v>
      </c>
      <c r="P171" s="32">
        <f t="shared" si="5"/>
        <v>-11505502</v>
      </c>
      <c r="Q171" s="25" t="s">
        <v>223</v>
      </c>
      <c r="R171" s="25" t="s">
        <v>224</v>
      </c>
      <c r="S171" s="26">
        <v>45936</v>
      </c>
      <c r="T171" s="25" t="s">
        <v>30</v>
      </c>
      <c r="U171" s="25" t="s">
        <v>239</v>
      </c>
    </row>
    <row r="172" spans="1:21" x14ac:dyDescent="0.2">
      <c r="A172" s="25">
        <v>170</v>
      </c>
      <c r="B172" s="25" t="s">
        <v>68</v>
      </c>
      <c r="C172" s="26">
        <v>45194</v>
      </c>
      <c r="D172" s="25" t="s">
        <v>69</v>
      </c>
      <c r="E172" s="27"/>
      <c r="F172" s="25" t="s">
        <v>300</v>
      </c>
      <c r="G172" s="27"/>
      <c r="H172" s="25" t="s">
        <v>72</v>
      </c>
      <c r="I172" s="25" t="s">
        <v>222</v>
      </c>
      <c r="J172" s="25" t="s">
        <v>74</v>
      </c>
      <c r="K172" s="28"/>
      <c r="L172" s="29"/>
      <c r="M172" s="30">
        <f>IF(N172=0,0,N172/LOOKUP(C172,Settings!$F$5:$F$20,Settings!$G$5:$G$20))</f>
        <v>2702.7451304347828</v>
      </c>
      <c r="N172" s="31">
        <v>31081569</v>
      </c>
      <c r="O172" s="32">
        <f t="shared" si="4"/>
        <v>-2702.7451304347828</v>
      </c>
      <c r="P172" s="32">
        <f t="shared" si="5"/>
        <v>-31081569</v>
      </c>
      <c r="Q172" s="25" t="s">
        <v>223</v>
      </c>
      <c r="R172" s="25" t="s">
        <v>224</v>
      </c>
      <c r="S172" s="26">
        <v>45997</v>
      </c>
      <c r="T172" s="25" t="s">
        <v>30</v>
      </c>
      <c r="U172" s="25" t="s">
        <v>301</v>
      </c>
    </row>
    <row r="173" spans="1:21" x14ac:dyDescent="0.2">
      <c r="A173" s="25">
        <v>171</v>
      </c>
      <c r="B173" s="25" t="s">
        <v>77</v>
      </c>
      <c r="C173" s="26">
        <v>45194</v>
      </c>
      <c r="D173" s="25" t="s">
        <v>78</v>
      </c>
      <c r="E173" s="27"/>
      <c r="F173" s="25" t="s">
        <v>302</v>
      </c>
      <c r="G173" s="27"/>
      <c r="H173" s="25" t="s">
        <v>45</v>
      </c>
      <c r="I173" s="25" t="s">
        <v>222</v>
      </c>
      <c r="J173" s="25" t="s">
        <v>82</v>
      </c>
      <c r="K173" s="28"/>
      <c r="L173" s="29"/>
      <c r="M173" s="30">
        <f>IF(N173=0,0,N173/LOOKUP(C173,Settings!$F$5:$F$20,Settings!$G$5:$G$20))</f>
        <v>4515.3338260869568</v>
      </c>
      <c r="N173" s="31">
        <v>51926339</v>
      </c>
      <c r="O173" s="32">
        <f t="shared" si="4"/>
        <v>-4515.3338260869568</v>
      </c>
      <c r="P173" s="32">
        <f t="shared" si="5"/>
        <v>-51926339</v>
      </c>
      <c r="Q173" s="25" t="s">
        <v>223</v>
      </c>
      <c r="R173" s="25" t="s">
        <v>224</v>
      </c>
      <c r="S173" s="26">
        <v>46008</v>
      </c>
      <c r="T173" s="25" t="s">
        <v>30</v>
      </c>
      <c r="U173" s="25" t="s">
        <v>303</v>
      </c>
    </row>
    <row r="174" spans="1:21" x14ac:dyDescent="0.2">
      <c r="A174" s="25">
        <v>172</v>
      </c>
      <c r="B174" s="25" t="s">
        <v>84</v>
      </c>
      <c r="C174" s="26">
        <v>45194</v>
      </c>
      <c r="D174" s="25" t="s">
        <v>85</v>
      </c>
      <c r="E174" s="27"/>
      <c r="F174" s="25" t="s">
        <v>244</v>
      </c>
      <c r="G174" s="27"/>
      <c r="H174" s="25" t="s">
        <v>25</v>
      </c>
      <c r="I174" s="25" t="s">
        <v>222</v>
      </c>
      <c r="J174" s="25" t="s">
        <v>89</v>
      </c>
      <c r="K174" s="28"/>
      <c r="L174" s="29"/>
      <c r="M174" s="30">
        <f>IF(N174=0,0,N174/LOOKUP(C174,Settings!$F$5:$F$20,Settings!$G$5:$G$20))</f>
        <v>1906.361304347826</v>
      </c>
      <c r="N174" s="31">
        <v>21923155</v>
      </c>
      <c r="O174" s="32">
        <f t="shared" si="4"/>
        <v>-1906.361304347826</v>
      </c>
      <c r="P174" s="32">
        <f t="shared" si="5"/>
        <v>-21923155</v>
      </c>
      <c r="Q174" s="25" t="s">
        <v>223</v>
      </c>
      <c r="R174" s="25" t="s">
        <v>224</v>
      </c>
      <c r="S174" s="26">
        <v>46006</v>
      </c>
      <c r="T174" s="25" t="s">
        <v>30</v>
      </c>
      <c r="U174" s="25" t="s">
        <v>245</v>
      </c>
    </row>
    <row r="175" spans="1:21" x14ac:dyDescent="0.2">
      <c r="A175" s="25">
        <v>173</v>
      </c>
      <c r="B175" s="25" t="s">
        <v>68</v>
      </c>
      <c r="C175" s="26">
        <v>45224</v>
      </c>
      <c r="D175" s="25" t="s">
        <v>69</v>
      </c>
      <c r="E175" s="27"/>
      <c r="F175" s="25" t="s">
        <v>304</v>
      </c>
      <c r="G175" s="27"/>
      <c r="H175" s="25" t="s">
        <v>72</v>
      </c>
      <c r="I175" s="25" t="s">
        <v>222</v>
      </c>
      <c r="J175" s="25" t="s">
        <v>74</v>
      </c>
      <c r="K175" s="28"/>
      <c r="L175" s="29"/>
      <c r="M175" s="30">
        <f>IF(N175=0,0,N175/LOOKUP(C175,Settings!$F$5:$F$20,Settings!$G$5:$G$20))</f>
        <v>1513.4849572649573</v>
      </c>
      <c r="N175" s="31">
        <v>17707774</v>
      </c>
      <c r="O175" s="32">
        <f t="shared" si="4"/>
        <v>-1513.4849572649573</v>
      </c>
      <c r="P175" s="32">
        <f t="shared" si="5"/>
        <v>-17707774</v>
      </c>
      <c r="Q175" s="25" t="s">
        <v>223</v>
      </c>
      <c r="R175" s="25" t="s">
        <v>224</v>
      </c>
      <c r="S175" s="26">
        <v>46017</v>
      </c>
      <c r="T175" s="25" t="s">
        <v>30</v>
      </c>
      <c r="U175" s="25" t="s">
        <v>305</v>
      </c>
    </row>
    <row r="176" spans="1:21" x14ac:dyDescent="0.2">
      <c r="A176" s="25">
        <v>174</v>
      </c>
      <c r="B176" s="25" t="s">
        <v>77</v>
      </c>
      <c r="C176" s="26">
        <v>45224</v>
      </c>
      <c r="D176" s="25" t="s">
        <v>78</v>
      </c>
      <c r="E176" s="27"/>
      <c r="F176" s="25" t="s">
        <v>306</v>
      </c>
      <c r="G176" s="27"/>
      <c r="H176" s="25" t="s">
        <v>45</v>
      </c>
      <c r="I176" s="25" t="s">
        <v>222</v>
      </c>
      <c r="J176" s="25" t="s">
        <v>82</v>
      </c>
      <c r="K176" s="28"/>
      <c r="L176" s="29"/>
      <c r="M176" s="30">
        <f>IF(N176=0,0,N176/LOOKUP(C176,Settings!$F$5:$F$20,Settings!$G$5:$G$20))</f>
        <v>5478.7298290598292</v>
      </c>
      <c r="N176" s="31">
        <v>64101139</v>
      </c>
      <c r="O176" s="32">
        <f t="shared" si="4"/>
        <v>-5478.7298290598292</v>
      </c>
      <c r="P176" s="32">
        <f t="shared" si="5"/>
        <v>-64101139</v>
      </c>
      <c r="Q176" s="25" t="s">
        <v>223</v>
      </c>
      <c r="R176" s="25" t="s">
        <v>224</v>
      </c>
      <c r="S176" s="27"/>
      <c r="T176" s="25" t="s">
        <v>30</v>
      </c>
      <c r="U176" s="25" t="s">
        <v>307</v>
      </c>
    </row>
    <row r="177" spans="1:21" x14ac:dyDescent="0.2">
      <c r="A177" s="25">
        <v>175</v>
      </c>
      <c r="B177" s="25" t="s">
        <v>84</v>
      </c>
      <c r="C177" s="26">
        <v>45224</v>
      </c>
      <c r="D177" s="25" t="s">
        <v>85</v>
      </c>
      <c r="E177" s="27"/>
      <c r="F177" s="25" t="s">
        <v>250</v>
      </c>
      <c r="G177" s="27"/>
      <c r="H177" s="25" t="s">
        <v>25</v>
      </c>
      <c r="I177" s="25" t="s">
        <v>222</v>
      </c>
      <c r="J177" s="25" t="s">
        <v>89</v>
      </c>
      <c r="K177" s="28"/>
      <c r="L177" s="29"/>
      <c r="M177" s="30">
        <f>IF(N177=0,0,N177/LOOKUP(C177,Settings!$F$5:$F$20,Settings!$G$5:$G$20))</f>
        <v>1488.2271794871795</v>
      </c>
      <c r="N177" s="31">
        <v>17412258</v>
      </c>
      <c r="O177" s="32">
        <f t="shared" si="4"/>
        <v>-1488.2271794871795</v>
      </c>
      <c r="P177" s="32">
        <f t="shared" si="5"/>
        <v>-17412258</v>
      </c>
      <c r="Q177" s="25" t="s">
        <v>223</v>
      </c>
      <c r="R177" s="25" t="s">
        <v>224</v>
      </c>
      <c r="S177" s="27"/>
      <c r="T177" s="25" t="s">
        <v>30</v>
      </c>
      <c r="U177" s="25" t="s">
        <v>251</v>
      </c>
    </row>
    <row r="178" spans="1:21" x14ac:dyDescent="0.2">
      <c r="A178" s="25">
        <v>176</v>
      </c>
      <c r="B178" s="25" t="s">
        <v>92</v>
      </c>
      <c r="C178" s="26">
        <v>45224</v>
      </c>
      <c r="D178" s="25" t="s">
        <v>93</v>
      </c>
      <c r="E178" s="27"/>
      <c r="F178" s="25" t="s">
        <v>238</v>
      </c>
      <c r="G178" s="27"/>
      <c r="H178" s="25" t="s">
        <v>72</v>
      </c>
      <c r="I178" s="25" t="s">
        <v>222</v>
      </c>
      <c r="J178" s="25" t="s">
        <v>97</v>
      </c>
      <c r="K178" s="28"/>
      <c r="L178" s="29"/>
      <c r="M178" s="30">
        <f>IF(N178=0,0,N178/LOOKUP(C178,Settings!$F$5:$F$20,Settings!$G$5:$G$20))</f>
        <v>874.15803418803421</v>
      </c>
      <c r="N178" s="31">
        <v>10227649</v>
      </c>
      <c r="O178" s="32">
        <f t="shared" si="4"/>
        <v>-874.15803418803421</v>
      </c>
      <c r="P178" s="32">
        <f t="shared" si="5"/>
        <v>-10227649</v>
      </c>
      <c r="Q178" s="25" t="s">
        <v>223</v>
      </c>
      <c r="R178" s="25" t="s">
        <v>224</v>
      </c>
      <c r="S178" s="27"/>
      <c r="T178" s="25" t="s">
        <v>30</v>
      </c>
      <c r="U178" s="25" t="s">
        <v>239</v>
      </c>
    </row>
    <row r="179" spans="1:21" x14ac:dyDescent="0.2">
      <c r="A179" s="25">
        <v>177</v>
      </c>
      <c r="B179" s="25" t="s">
        <v>68</v>
      </c>
      <c r="C179" s="26">
        <v>45255</v>
      </c>
      <c r="D179" s="25" t="s">
        <v>69</v>
      </c>
      <c r="E179" s="27"/>
      <c r="F179" s="25" t="s">
        <v>308</v>
      </c>
      <c r="G179" s="27"/>
      <c r="H179" s="25" t="s">
        <v>72</v>
      </c>
      <c r="I179" s="25" t="s">
        <v>222</v>
      </c>
      <c r="J179" s="25" t="s">
        <v>74</v>
      </c>
      <c r="K179" s="28"/>
      <c r="L179" s="29"/>
      <c r="M179" s="30">
        <f>IF(N179=0,0,N179/LOOKUP(C179,Settings!$F$5:$F$20,Settings!$G$5:$G$20))</f>
        <v>2291.2455555555557</v>
      </c>
      <c r="N179" s="31">
        <v>26807573</v>
      </c>
      <c r="O179" s="32">
        <f t="shared" si="4"/>
        <v>-2291.2455555555557</v>
      </c>
      <c r="P179" s="32">
        <f t="shared" si="5"/>
        <v>-26807573</v>
      </c>
      <c r="Q179" s="25" t="s">
        <v>223</v>
      </c>
      <c r="R179" s="25" t="s">
        <v>224</v>
      </c>
      <c r="S179" s="27"/>
      <c r="T179" s="25" t="s">
        <v>30</v>
      </c>
      <c r="U179" s="25" t="s">
        <v>309</v>
      </c>
    </row>
    <row r="180" spans="1:21" x14ac:dyDescent="0.2">
      <c r="A180" s="25">
        <v>178</v>
      </c>
      <c r="B180" s="25" t="s">
        <v>77</v>
      </c>
      <c r="C180" s="26">
        <v>45255</v>
      </c>
      <c r="D180" s="25" t="s">
        <v>78</v>
      </c>
      <c r="E180" s="27"/>
      <c r="F180" s="25" t="s">
        <v>310</v>
      </c>
      <c r="G180" s="27"/>
      <c r="H180" s="25" t="s">
        <v>45</v>
      </c>
      <c r="I180" s="25" t="s">
        <v>222</v>
      </c>
      <c r="J180" s="25" t="s">
        <v>82</v>
      </c>
      <c r="K180" s="28"/>
      <c r="L180" s="29"/>
      <c r="M180" s="30">
        <f>IF(N180=0,0,N180/LOOKUP(C180,Settings!$F$5:$F$20,Settings!$G$5:$G$20))</f>
        <v>3225.6537606837605</v>
      </c>
      <c r="N180" s="31">
        <v>37740149</v>
      </c>
      <c r="O180" s="32">
        <f t="shared" si="4"/>
        <v>-3225.6537606837605</v>
      </c>
      <c r="P180" s="32">
        <f t="shared" si="5"/>
        <v>-37740149</v>
      </c>
      <c r="Q180" s="25" t="s">
        <v>223</v>
      </c>
      <c r="R180" s="25" t="s">
        <v>224</v>
      </c>
      <c r="S180" s="27"/>
      <c r="T180" s="25" t="s">
        <v>30</v>
      </c>
      <c r="U180" s="25" t="s">
        <v>311</v>
      </c>
    </row>
    <row r="181" spans="1:21" x14ac:dyDescent="0.2">
      <c r="A181" s="25">
        <v>179</v>
      </c>
      <c r="B181" s="25" t="s">
        <v>84</v>
      </c>
      <c r="C181" s="26">
        <v>45255</v>
      </c>
      <c r="D181" s="25" t="s">
        <v>85</v>
      </c>
      <c r="E181" s="27"/>
      <c r="F181" s="25" t="s">
        <v>258</v>
      </c>
      <c r="G181" s="27"/>
      <c r="H181" s="25" t="s">
        <v>25</v>
      </c>
      <c r="I181" s="25" t="s">
        <v>222</v>
      </c>
      <c r="J181" s="25" t="s">
        <v>89</v>
      </c>
      <c r="K181" s="28"/>
      <c r="L181" s="29"/>
      <c r="M181" s="30">
        <f>IF(N181=0,0,N181/LOOKUP(C181,Settings!$F$5:$F$20,Settings!$G$5:$G$20))</f>
        <v>1453.6650427350428</v>
      </c>
      <c r="N181" s="31">
        <v>17007881</v>
      </c>
      <c r="O181" s="32">
        <f t="shared" si="4"/>
        <v>-1453.6650427350428</v>
      </c>
      <c r="P181" s="32">
        <f t="shared" si="5"/>
        <v>-17007881</v>
      </c>
      <c r="Q181" s="25" t="s">
        <v>223</v>
      </c>
      <c r="R181" s="25" t="s">
        <v>224</v>
      </c>
      <c r="S181" s="27"/>
      <c r="T181" s="25" t="s">
        <v>30</v>
      </c>
      <c r="U181" s="25" t="s">
        <v>259</v>
      </c>
    </row>
    <row r="182" spans="1:21" x14ac:dyDescent="0.2">
      <c r="A182" s="25">
        <v>180</v>
      </c>
      <c r="B182" s="25" t="s">
        <v>92</v>
      </c>
      <c r="C182" s="26">
        <v>45255</v>
      </c>
      <c r="D182" s="25" t="s">
        <v>93</v>
      </c>
      <c r="E182" s="27"/>
      <c r="F182" s="25" t="s">
        <v>244</v>
      </c>
      <c r="G182" s="27"/>
      <c r="H182" s="25" t="s">
        <v>72</v>
      </c>
      <c r="I182" s="25" t="s">
        <v>222</v>
      </c>
      <c r="J182" s="25" t="s">
        <v>97</v>
      </c>
      <c r="K182" s="28"/>
      <c r="L182" s="29"/>
      <c r="M182" s="30">
        <f>IF(N182=0,0,N182/LOOKUP(C182,Settings!$F$5:$F$20,Settings!$G$5:$G$20))</f>
        <v>1367.8838461538462</v>
      </c>
      <c r="N182" s="31">
        <v>16004241</v>
      </c>
      <c r="O182" s="32">
        <f t="shared" si="4"/>
        <v>-1367.8838461538462</v>
      </c>
      <c r="P182" s="32">
        <f t="shared" si="5"/>
        <v>-16004241</v>
      </c>
      <c r="Q182" s="25" t="s">
        <v>223</v>
      </c>
      <c r="R182" s="25" t="s">
        <v>224</v>
      </c>
      <c r="S182" s="27"/>
      <c r="T182" s="25" t="s">
        <v>30</v>
      </c>
      <c r="U182" s="25" t="s">
        <v>245</v>
      </c>
    </row>
    <row r="183" spans="1:21" x14ac:dyDescent="0.2">
      <c r="A183" s="25">
        <v>181</v>
      </c>
      <c r="B183" s="25" t="s">
        <v>68</v>
      </c>
      <c r="C183" s="26">
        <v>45285</v>
      </c>
      <c r="D183" s="25" t="s">
        <v>69</v>
      </c>
      <c r="E183" s="27"/>
      <c r="F183" s="25" t="s">
        <v>312</v>
      </c>
      <c r="G183" s="27"/>
      <c r="H183" s="25" t="s">
        <v>72</v>
      </c>
      <c r="I183" s="25" t="s">
        <v>222</v>
      </c>
      <c r="J183" s="25" t="s">
        <v>74</v>
      </c>
      <c r="K183" s="28"/>
      <c r="L183" s="29"/>
      <c r="M183" s="30">
        <f>IF(N183=0,0,N183/LOOKUP(C183,Settings!$F$5:$F$20,Settings!$G$5:$G$20))</f>
        <v>912.81324786324785</v>
      </c>
      <c r="N183" s="31">
        <v>10679915</v>
      </c>
      <c r="O183" s="32">
        <f t="shared" si="4"/>
        <v>-912.81324786324785</v>
      </c>
      <c r="P183" s="32">
        <f t="shared" si="5"/>
        <v>-10679915</v>
      </c>
      <c r="Q183" s="25" t="s">
        <v>223</v>
      </c>
      <c r="R183" s="25" t="s">
        <v>224</v>
      </c>
      <c r="S183" s="27"/>
      <c r="T183" s="25" t="s">
        <v>30</v>
      </c>
      <c r="U183" s="25" t="s">
        <v>313</v>
      </c>
    </row>
    <row r="184" spans="1:21" x14ac:dyDescent="0.2">
      <c r="A184" s="25">
        <v>182</v>
      </c>
      <c r="B184" s="25" t="s">
        <v>77</v>
      </c>
      <c r="C184" s="26">
        <v>45285</v>
      </c>
      <c r="D184" s="25" t="s">
        <v>78</v>
      </c>
      <c r="E184" s="27"/>
      <c r="F184" s="25" t="s">
        <v>314</v>
      </c>
      <c r="G184" s="27"/>
      <c r="H184" s="25" t="s">
        <v>45</v>
      </c>
      <c r="I184" s="25" t="s">
        <v>222</v>
      </c>
      <c r="J184" s="25" t="s">
        <v>82</v>
      </c>
      <c r="K184" s="28"/>
      <c r="L184" s="29"/>
      <c r="M184" s="30">
        <f>IF(N184=0,0,N184/LOOKUP(C184,Settings!$F$5:$F$20,Settings!$G$5:$G$20))</f>
        <v>4692.096495726496</v>
      </c>
      <c r="N184" s="31">
        <v>54897529</v>
      </c>
      <c r="O184" s="32">
        <f t="shared" si="4"/>
        <v>-4692.096495726496</v>
      </c>
      <c r="P184" s="32">
        <f t="shared" si="5"/>
        <v>-54897529</v>
      </c>
      <c r="Q184" s="25" t="s">
        <v>223</v>
      </c>
      <c r="R184" s="25" t="s">
        <v>224</v>
      </c>
      <c r="S184" s="27"/>
      <c r="T184" s="25" t="s">
        <v>30</v>
      </c>
      <c r="U184" s="25" t="s">
        <v>315</v>
      </c>
    </row>
    <row r="185" spans="1:21" x14ac:dyDescent="0.2">
      <c r="A185" s="25">
        <v>183</v>
      </c>
      <c r="B185" s="25" t="s">
        <v>84</v>
      </c>
      <c r="C185" s="26">
        <v>45285</v>
      </c>
      <c r="D185" s="25" t="s">
        <v>85</v>
      </c>
      <c r="E185" s="27"/>
      <c r="F185" s="25" t="s">
        <v>266</v>
      </c>
      <c r="G185" s="27"/>
      <c r="H185" s="25" t="s">
        <v>25</v>
      </c>
      <c r="I185" s="25" t="s">
        <v>222</v>
      </c>
      <c r="J185" s="25" t="s">
        <v>89</v>
      </c>
      <c r="K185" s="28"/>
      <c r="L185" s="29"/>
      <c r="M185" s="30">
        <f>IF(N185=0,0,N185/LOOKUP(C185,Settings!$F$5:$F$20,Settings!$G$5:$G$20))</f>
        <v>987.63846153846157</v>
      </c>
      <c r="N185" s="31">
        <v>11555370</v>
      </c>
      <c r="O185" s="32">
        <f t="shared" si="4"/>
        <v>-987.63846153846157</v>
      </c>
      <c r="P185" s="32">
        <f t="shared" si="5"/>
        <v>-11555370</v>
      </c>
      <c r="Q185" s="25" t="s">
        <v>223</v>
      </c>
      <c r="R185" s="25" t="s">
        <v>224</v>
      </c>
      <c r="S185" s="27"/>
      <c r="T185" s="25" t="s">
        <v>30</v>
      </c>
      <c r="U185" s="25" t="s">
        <v>267</v>
      </c>
    </row>
    <row r="186" spans="1:21" x14ac:dyDescent="0.2">
      <c r="A186" s="25">
        <v>184</v>
      </c>
      <c r="B186" s="25" t="s">
        <v>92</v>
      </c>
      <c r="C186" s="26">
        <v>45285</v>
      </c>
      <c r="D186" s="25" t="s">
        <v>93</v>
      </c>
      <c r="E186" s="27"/>
      <c r="F186" s="25" t="s">
        <v>250</v>
      </c>
      <c r="G186" s="27"/>
      <c r="H186" s="25" t="s">
        <v>72</v>
      </c>
      <c r="I186" s="25" t="s">
        <v>222</v>
      </c>
      <c r="J186" s="25" t="s">
        <v>97</v>
      </c>
      <c r="K186" s="28"/>
      <c r="L186" s="29"/>
      <c r="M186" s="30">
        <f>IF(N186=0,0,N186/LOOKUP(C186,Settings!$F$5:$F$20,Settings!$G$5:$G$20))</f>
        <v>780.88854700854699</v>
      </c>
      <c r="N186" s="31">
        <v>9136396</v>
      </c>
      <c r="O186" s="32">
        <f t="shared" si="4"/>
        <v>-780.88854700854699</v>
      </c>
      <c r="P186" s="32">
        <f t="shared" si="5"/>
        <v>-9136396</v>
      </c>
      <c r="Q186" s="25" t="s">
        <v>223</v>
      </c>
      <c r="R186" s="25" t="s">
        <v>224</v>
      </c>
      <c r="S186" s="27"/>
      <c r="T186" s="25" t="s">
        <v>30</v>
      </c>
      <c r="U186" s="25" t="s">
        <v>251</v>
      </c>
    </row>
    <row r="187" spans="1:21" x14ac:dyDescent="0.2">
      <c r="A187" s="25">
        <v>185</v>
      </c>
      <c r="B187" s="25" t="s">
        <v>101</v>
      </c>
      <c r="C187" s="26">
        <v>45285</v>
      </c>
      <c r="D187" s="25" t="s">
        <v>102</v>
      </c>
      <c r="E187" s="27"/>
      <c r="F187" s="25" t="s">
        <v>316</v>
      </c>
      <c r="G187" s="27"/>
      <c r="H187" s="25" t="s">
        <v>36</v>
      </c>
      <c r="I187" s="25" t="s">
        <v>222</v>
      </c>
      <c r="J187" s="25" t="s">
        <v>106</v>
      </c>
      <c r="K187" s="28"/>
      <c r="L187" s="29"/>
      <c r="M187" s="30">
        <f>IF(N187=0,0,N187/LOOKUP(C187,Settings!$F$5:$F$20,Settings!$G$5:$G$20))</f>
        <v>832.33094017094015</v>
      </c>
      <c r="N187" s="31">
        <v>9738272</v>
      </c>
      <c r="O187" s="32">
        <f t="shared" si="4"/>
        <v>-832.33094017094015</v>
      </c>
      <c r="P187" s="32">
        <f t="shared" si="5"/>
        <v>-9738272</v>
      </c>
      <c r="Q187" s="25" t="s">
        <v>223</v>
      </c>
      <c r="R187" s="25" t="s">
        <v>224</v>
      </c>
      <c r="S187" s="27"/>
      <c r="T187" s="25" t="s">
        <v>30</v>
      </c>
      <c r="U187" s="25" t="s">
        <v>317</v>
      </c>
    </row>
    <row r="188" spans="1:21" x14ac:dyDescent="0.2">
      <c r="A188" s="33">
        <v>186</v>
      </c>
      <c r="B188" s="33" t="s">
        <v>68</v>
      </c>
      <c r="C188" s="34">
        <v>45296</v>
      </c>
      <c r="D188" s="33" t="s">
        <v>69</v>
      </c>
      <c r="E188" s="35"/>
      <c r="F188" s="33" t="s">
        <v>270</v>
      </c>
      <c r="G188" s="35"/>
      <c r="H188" s="33" t="s">
        <v>72</v>
      </c>
      <c r="I188" s="33" t="s">
        <v>222</v>
      </c>
      <c r="J188" s="33" t="s">
        <v>74</v>
      </c>
      <c r="K188" s="36"/>
      <c r="L188" s="37"/>
      <c r="M188" s="38">
        <f>IF(N188=0,0,N188/LOOKUP(C188,Settings!$F$5:$F$20,Settings!$G$5:$G$20))</f>
        <v>-4993.3893401805171</v>
      </c>
      <c r="N188" s="38">
        <f>'Proekt vaqt va Risk'!T9-(N157+N161+N164+N167+N169+N172+N175+N179+N183)</f>
        <v>-59421333.148148149</v>
      </c>
      <c r="O188" s="39">
        <f t="shared" si="4"/>
        <v>4993.3893401805171</v>
      </c>
      <c r="P188" s="39">
        <f t="shared" si="5"/>
        <v>59421333.148148149</v>
      </c>
      <c r="Q188" s="33" t="s">
        <v>223</v>
      </c>
      <c r="R188" s="33" t="s">
        <v>224</v>
      </c>
      <c r="S188" s="35"/>
      <c r="T188" s="33" t="s">
        <v>30</v>
      </c>
      <c r="U188" s="33" t="s">
        <v>271</v>
      </c>
    </row>
    <row r="189" spans="1:21" x14ac:dyDescent="0.2">
      <c r="A189" s="25">
        <v>187</v>
      </c>
      <c r="B189" s="25" t="s">
        <v>77</v>
      </c>
      <c r="C189" s="26">
        <v>45316</v>
      </c>
      <c r="D189" s="25" t="s">
        <v>78</v>
      </c>
      <c r="E189" s="27"/>
      <c r="F189" s="25" t="s">
        <v>318</v>
      </c>
      <c r="G189" s="27"/>
      <c r="H189" s="25" t="s">
        <v>45</v>
      </c>
      <c r="I189" s="25" t="s">
        <v>222</v>
      </c>
      <c r="J189" s="25" t="s">
        <v>82</v>
      </c>
      <c r="K189" s="28"/>
      <c r="L189" s="29"/>
      <c r="M189" s="30">
        <f>IF(N189=0,0,N189/LOOKUP(C189,Settings!$F$5:$F$20,Settings!$G$5:$G$20))</f>
        <v>3996.3768907563026</v>
      </c>
      <c r="N189" s="31">
        <v>47556885</v>
      </c>
      <c r="O189" s="32">
        <f t="shared" si="4"/>
        <v>-3996.3768907563026</v>
      </c>
      <c r="P189" s="32">
        <f t="shared" si="5"/>
        <v>-47556885</v>
      </c>
      <c r="Q189" s="25" t="s">
        <v>223</v>
      </c>
      <c r="R189" s="25" t="s">
        <v>224</v>
      </c>
      <c r="S189" s="27"/>
      <c r="T189" s="25" t="s">
        <v>30</v>
      </c>
      <c r="U189" s="25" t="s">
        <v>319</v>
      </c>
    </row>
    <row r="190" spans="1:21" x14ac:dyDescent="0.2">
      <c r="A190" s="25">
        <v>188</v>
      </c>
      <c r="B190" s="25" t="s">
        <v>84</v>
      </c>
      <c r="C190" s="26">
        <v>45316</v>
      </c>
      <c r="D190" s="25" t="s">
        <v>85</v>
      </c>
      <c r="E190" s="27"/>
      <c r="F190" s="25" t="s">
        <v>274</v>
      </c>
      <c r="G190" s="27"/>
      <c r="H190" s="25" t="s">
        <v>25</v>
      </c>
      <c r="I190" s="25" t="s">
        <v>222</v>
      </c>
      <c r="J190" s="25" t="s">
        <v>89</v>
      </c>
      <c r="K190" s="28"/>
      <c r="L190" s="29"/>
      <c r="M190" s="30">
        <f>IF(N190=0,0,N190/LOOKUP(C190,Settings!$F$5:$F$20,Settings!$G$5:$G$20))</f>
        <v>411.49605042016805</v>
      </c>
      <c r="N190" s="31">
        <v>4896803</v>
      </c>
      <c r="O190" s="32">
        <f t="shared" si="4"/>
        <v>-411.49605042016805</v>
      </c>
      <c r="P190" s="32">
        <f t="shared" si="5"/>
        <v>-4896803</v>
      </c>
      <c r="Q190" s="25" t="s">
        <v>223</v>
      </c>
      <c r="R190" s="25" t="s">
        <v>224</v>
      </c>
      <c r="S190" s="27"/>
      <c r="T190" s="25" t="s">
        <v>30</v>
      </c>
      <c r="U190" s="25" t="s">
        <v>275</v>
      </c>
    </row>
    <row r="191" spans="1:21" x14ac:dyDescent="0.2">
      <c r="A191" s="25">
        <v>189</v>
      </c>
      <c r="B191" s="25" t="s">
        <v>92</v>
      </c>
      <c r="C191" s="26">
        <v>45316</v>
      </c>
      <c r="D191" s="25" t="s">
        <v>93</v>
      </c>
      <c r="E191" s="27"/>
      <c r="F191" s="25" t="s">
        <v>258</v>
      </c>
      <c r="G191" s="27"/>
      <c r="H191" s="25" t="s">
        <v>72</v>
      </c>
      <c r="I191" s="25" t="s">
        <v>222</v>
      </c>
      <c r="J191" s="25" t="s">
        <v>97</v>
      </c>
      <c r="K191" s="28"/>
      <c r="L191" s="29"/>
      <c r="M191" s="30">
        <f>IF(N191=0,0,N191/LOOKUP(C191,Settings!$F$5:$F$20,Settings!$G$5:$G$20))</f>
        <v>1195.2696638655461</v>
      </c>
      <c r="N191" s="31">
        <v>14223709</v>
      </c>
      <c r="O191" s="32">
        <f t="shared" si="4"/>
        <v>-1195.2696638655461</v>
      </c>
      <c r="P191" s="32">
        <f t="shared" si="5"/>
        <v>-14223709</v>
      </c>
      <c r="Q191" s="25" t="s">
        <v>223</v>
      </c>
      <c r="R191" s="25" t="s">
        <v>224</v>
      </c>
      <c r="S191" s="27"/>
      <c r="T191" s="25" t="s">
        <v>30</v>
      </c>
      <c r="U191" s="25" t="s">
        <v>259</v>
      </c>
    </row>
    <row r="192" spans="1:21" x14ac:dyDescent="0.2">
      <c r="A192" s="25">
        <v>190</v>
      </c>
      <c r="B192" s="25" t="s">
        <v>101</v>
      </c>
      <c r="C192" s="26">
        <v>45316</v>
      </c>
      <c r="D192" s="25" t="s">
        <v>102</v>
      </c>
      <c r="E192" s="27"/>
      <c r="F192" s="25" t="s">
        <v>320</v>
      </c>
      <c r="G192" s="27"/>
      <c r="H192" s="25" t="s">
        <v>36</v>
      </c>
      <c r="I192" s="25" t="s">
        <v>222</v>
      </c>
      <c r="J192" s="25" t="s">
        <v>106</v>
      </c>
      <c r="K192" s="28"/>
      <c r="L192" s="29"/>
      <c r="M192" s="30">
        <f>IF(N192=0,0,N192/LOOKUP(C192,Settings!$F$5:$F$20,Settings!$G$5:$G$20))</f>
        <v>942.53630252100845</v>
      </c>
      <c r="N192" s="31">
        <v>11216182</v>
      </c>
      <c r="O192" s="32">
        <f t="shared" si="4"/>
        <v>-942.53630252100845</v>
      </c>
      <c r="P192" s="32">
        <f t="shared" si="5"/>
        <v>-11216182</v>
      </c>
      <c r="Q192" s="25" t="s">
        <v>223</v>
      </c>
      <c r="R192" s="25" t="s">
        <v>224</v>
      </c>
      <c r="S192" s="27"/>
      <c r="T192" s="25" t="s">
        <v>30</v>
      </c>
      <c r="U192" s="25" t="s">
        <v>321</v>
      </c>
    </row>
    <row r="193" spans="1:21" x14ac:dyDescent="0.2">
      <c r="A193" s="33">
        <v>191</v>
      </c>
      <c r="B193" s="33" t="s">
        <v>84</v>
      </c>
      <c r="C193" s="34">
        <v>45327</v>
      </c>
      <c r="D193" s="33" t="s">
        <v>85</v>
      </c>
      <c r="E193" s="35"/>
      <c r="F193" s="33" t="s">
        <v>270</v>
      </c>
      <c r="G193" s="35"/>
      <c r="H193" s="33" t="s">
        <v>25</v>
      </c>
      <c r="I193" s="33" t="s">
        <v>222</v>
      </c>
      <c r="J193" s="33" t="s">
        <v>89</v>
      </c>
      <c r="K193" s="36"/>
      <c r="L193" s="37"/>
      <c r="M193" s="38">
        <f>IF(N193=0,0,N193/LOOKUP(C193,Settings!$F$5:$F$20,Settings!$G$5:$G$20))</f>
        <v>2093.209463542993</v>
      </c>
      <c r="N193" s="38">
        <f>'Proekt vaqt va Risk'!T11-(N171+N174+N177+N181+N185+N190)</f>
        <v>24909192.616161615</v>
      </c>
      <c r="O193" s="39">
        <f t="shared" si="4"/>
        <v>-2093.209463542993</v>
      </c>
      <c r="P193" s="39">
        <f t="shared" si="5"/>
        <v>-24909192.616161615</v>
      </c>
      <c r="Q193" s="33" t="s">
        <v>223</v>
      </c>
      <c r="R193" s="33" t="s">
        <v>224</v>
      </c>
      <c r="S193" s="35"/>
      <c r="T193" s="33" t="s">
        <v>30</v>
      </c>
      <c r="U193" s="33" t="s">
        <v>271</v>
      </c>
    </row>
    <row r="194" spans="1:21" x14ac:dyDescent="0.2">
      <c r="A194" s="25">
        <v>192</v>
      </c>
      <c r="B194" s="25" t="s">
        <v>77</v>
      </c>
      <c r="C194" s="26">
        <v>45347</v>
      </c>
      <c r="D194" s="25" t="s">
        <v>78</v>
      </c>
      <c r="E194" s="27"/>
      <c r="F194" s="25" t="s">
        <v>322</v>
      </c>
      <c r="G194" s="27"/>
      <c r="H194" s="25" t="s">
        <v>45</v>
      </c>
      <c r="I194" s="25" t="s">
        <v>222</v>
      </c>
      <c r="J194" s="25" t="s">
        <v>82</v>
      </c>
      <c r="K194" s="28"/>
      <c r="L194" s="29"/>
      <c r="M194" s="30">
        <f>IF(N194=0,0,N194/LOOKUP(C194,Settings!$F$5:$F$20,Settings!$G$5:$G$20))</f>
        <v>4510.109831932773</v>
      </c>
      <c r="N194" s="31">
        <v>53670307</v>
      </c>
      <c r="O194" s="32">
        <f t="shared" si="4"/>
        <v>-4510.109831932773</v>
      </c>
      <c r="P194" s="32">
        <f t="shared" si="5"/>
        <v>-53670307</v>
      </c>
      <c r="Q194" s="25" t="s">
        <v>223</v>
      </c>
      <c r="R194" s="25" t="s">
        <v>224</v>
      </c>
      <c r="S194" s="27"/>
      <c r="T194" s="25" t="s">
        <v>30</v>
      </c>
      <c r="U194" s="25" t="s">
        <v>323</v>
      </c>
    </row>
    <row r="195" spans="1:21" x14ac:dyDescent="0.2">
      <c r="A195" s="25">
        <v>193</v>
      </c>
      <c r="B195" s="25" t="s">
        <v>92</v>
      </c>
      <c r="C195" s="26">
        <v>45347</v>
      </c>
      <c r="D195" s="25" t="s">
        <v>93</v>
      </c>
      <c r="E195" s="27"/>
      <c r="F195" s="25" t="s">
        <v>266</v>
      </c>
      <c r="G195" s="27"/>
      <c r="H195" s="25" t="s">
        <v>72</v>
      </c>
      <c r="I195" s="25" t="s">
        <v>222</v>
      </c>
      <c r="J195" s="25" t="s">
        <v>97</v>
      </c>
      <c r="K195" s="28"/>
      <c r="L195" s="29"/>
      <c r="M195" s="30">
        <f>IF(N195=0,0,N195/LOOKUP(C195,Settings!$F$5:$F$20,Settings!$G$5:$G$20))</f>
        <v>1123.5682352941176</v>
      </c>
      <c r="N195" s="31">
        <v>13370462</v>
      </c>
      <c r="O195" s="32">
        <f t="shared" ref="O195:O258" si="6">K195-M195</f>
        <v>-1123.5682352941176</v>
      </c>
      <c r="P195" s="32">
        <f t="shared" ref="P195:P258" si="7">L195-N195</f>
        <v>-13370462</v>
      </c>
      <c r="Q195" s="25" t="s">
        <v>223</v>
      </c>
      <c r="R195" s="25" t="s">
        <v>224</v>
      </c>
      <c r="S195" s="27"/>
      <c r="T195" s="25" t="s">
        <v>30</v>
      </c>
      <c r="U195" s="25" t="s">
        <v>267</v>
      </c>
    </row>
    <row r="196" spans="1:21" x14ac:dyDescent="0.2">
      <c r="A196" s="25">
        <v>194</v>
      </c>
      <c r="B196" s="25" t="s">
        <v>101</v>
      </c>
      <c r="C196" s="26">
        <v>45347</v>
      </c>
      <c r="D196" s="25" t="s">
        <v>102</v>
      </c>
      <c r="E196" s="27"/>
      <c r="F196" s="25" t="s">
        <v>324</v>
      </c>
      <c r="G196" s="27"/>
      <c r="H196" s="25" t="s">
        <v>36</v>
      </c>
      <c r="I196" s="25" t="s">
        <v>222</v>
      </c>
      <c r="J196" s="25" t="s">
        <v>106</v>
      </c>
      <c r="K196" s="28"/>
      <c r="L196" s="29"/>
      <c r="M196" s="30">
        <f>IF(N196=0,0,N196/LOOKUP(C196,Settings!$F$5:$F$20,Settings!$G$5:$G$20))</f>
        <v>1648.9345378151261</v>
      </c>
      <c r="N196" s="31">
        <v>19622321</v>
      </c>
      <c r="O196" s="32">
        <f t="shared" si="6"/>
        <v>-1648.9345378151261</v>
      </c>
      <c r="P196" s="32">
        <f t="shared" si="7"/>
        <v>-19622321</v>
      </c>
      <c r="Q196" s="25" t="s">
        <v>223</v>
      </c>
      <c r="R196" s="25" t="s">
        <v>224</v>
      </c>
      <c r="S196" s="27"/>
      <c r="T196" s="25" t="s">
        <v>30</v>
      </c>
      <c r="U196" s="25" t="s">
        <v>325</v>
      </c>
    </row>
    <row r="197" spans="1:21" x14ac:dyDescent="0.2">
      <c r="A197" s="25">
        <v>195</v>
      </c>
      <c r="B197" s="25" t="s">
        <v>108</v>
      </c>
      <c r="C197" s="26">
        <v>45347</v>
      </c>
      <c r="D197" s="25" t="s">
        <v>109</v>
      </c>
      <c r="E197" s="27"/>
      <c r="F197" s="25" t="s">
        <v>326</v>
      </c>
      <c r="G197" s="27"/>
      <c r="H197" s="25" t="s">
        <v>45</v>
      </c>
      <c r="I197" s="25" t="s">
        <v>222</v>
      </c>
      <c r="J197" s="25" t="s">
        <v>113</v>
      </c>
      <c r="K197" s="28"/>
      <c r="L197" s="29"/>
      <c r="M197" s="30">
        <f>IF(N197=0,0,N197/LOOKUP(C197,Settings!$F$5:$F$20,Settings!$G$5:$G$20))</f>
        <v>406.6295798319328</v>
      </c>
      <c r="N197" s="31">
        <v>4838892</v>
      </c>
      <c r="O197" s="32">
        <f t="shared" si="6"/>
        <v>-406.6295798319328</v>
      </c>
      <c r="P197" s="32">
        <f t="shared" si="7"/>
        <v>-4838892</v>
      </c>
      <c r="Q197" s="25" t="s">
        <v>223</v>
      </c>
      <c r="R197" s="25" t="s">
        <v>224</v>
      </c>
      <c r="S197" s="27"/>
      <c r="T197" s="25" t="s">
        <v>30</v>
      </c>
      <c r="U197" s="25" t="s">
        <v>327</v>
      </c>
    </row>
    <row r="198" spans="1:21" x14ac:dyDescent="0.2">
      <c r="A198" s="25">
        <v>196</v>
      </c>
      <c r="B198" s="25" t="s">
        <v>77</v>
      </c>
      <c r="C198" s="26">
        <v>45376</v>
      </c>
      <c r="D198" s="25" t="s">
        <v>78</v>
      </c>
      <c r="E198" s="27"/>
      <c r="F198" s="25" t="s">
        <v>328</v>
      </c>
      <c r="G198" s="27"/>
      <c r="H198" s="25" t="s">
        <v>45</v>
      </c>
      <c r="I198" s="25" t="s">
        <v>222</v>
      </c>
      <c r="J198" s="25" t="s">
        <v>82</v>
      </c>
      <c r="K198" s="28"/>
      <c r="L198" s="29"/>
      <c r="M198" s="30">
        <f>IF(N198=0,0,N198/LOOKUP(C198,Settings!$F$5:$F$20,Settings!$G$5:$G$20))</f>
        <v>4139.6163865546223</v>
      </c>
      <c r="N198" s="31">
        <v>49261435</v>
      </c>
      <c r="O198" s="32">
        <f t="shared" si="6"/>
        <v>-4139.6163865546223</v>
      </c>
      <c r="P198" s="32">
        <f t="shared" si="7"/>
        <v>-49261435</v>
      </c>
      <c r="Q198" s="25" t="s">
        <v>223</v>
      </c>
      <c r="R198" s="25" t="s">
        <v>224</v>
      </c>
      <c r="S198" s="27"/>
      <c r="T198" s="25" t="s">
        <v>30</v>
      </c>
      <c r="U198" s="25" t="s">
        <v>329</v>
      </c>
    </row>
    <row r="199" spans="1:21" x14ac:dyDescent="0.2">
      <c r="A199" s="25">
        <v>197</v>
      </c>
      <c r="B199" s="25" t="s">
        <v>92</v>
      </c>
      <c r="C199" s="26">
        <v>45376</v>
      </c>
      <c r="D199" s="25" t="s">
        <v>93</v>
      </c>
      <c r="E199" s="27"/>
      <c r="F199" s="25" t="s">
        <v>274</v>
      </c>
      <c r="G199" s="27"/>
      <c r="H199" s="25" t="s">
        <v>72</v>
      </c>
      <c r="I199" s="25" t="s">
        <v>222</v>
      </c>
      <c r="J199" s="25" t="s">
        <v>97</v>
      </c>
      <c r="K199" s="28"/>
      <c r="L199" s="29"/>
      <c r="M199" s="30">
        <f>IF(N199=0,0,N199/LOOKUP(C199,Settings!$F$5:$F$20,Settings!$G$5:$G$20))</f>
        <v>556.06487394957981</v>
      </c>
      <c r="N199" s="31">
        <v>6617172</v>
      </c>
      <c r="O199" s="32">
        <f t="shared" si="6"/>
        <v>-556.06487394957981</v>
      </c>
      <c r="P199" s="32">
        <f t="shared" si="7"/>
        <v>-6617172</v>
      </c>
      <c r="Q199" s="25" t="s">
        <v>223</v>
      </c>
      <c r="R199" s="25" t="s">
        <v>224</v>
      </c>
      <c r="S199" s="27"/>
      <c r="T199" s="25" t="s">
        <v>30</v>
      </c>
      <c r="U199" s="25" t="s">
        <v>275</v>
      </c>
    </row>
    <row r="200" spans="1:21" x14ac:dyDescent="0.2">
      <c r="A200" s="25">
        <v>198</v>
      </c>
      <c r="B200" s="25" t="s">
        <v>101</v>
      </c>
      <c r="C200" s="26">
        <v>45376</v>
      </c>
      <c r="D200" s="25" t="s">
        <v>102</v>
      </c>
      <c r="E200" s="27"/>
      <c r="F200" s="25" t="s">
        <v>330</v>
      </c>
      <c r="G200" s="27"/>
      <c r="H200" s="25" t="s">
        <v>36</v>
      </c>
      <c r="I200" s="25" t="s">
        <v>222</v>
      </c>
      <c r="J200" s="25" t="s">
        <v>106</v>
      </c>
      <c r="K200" s="28"/>
      <c r="L200" s="29"/>
      <c r="M200" s="30">
        <f>IF(N200=0,0,N200/LOOKUP(C200,Settings!$F$5:$F$20,Settings!$G$5:$G$20))</f>
        <v>2001.6908403361344</v>
      </c>
      <c r="N200" s="31">
        <v>23820121</v>
      </c>
      <c r="O200" s="32">
        <f t="shared" si="6"/>
        <v>-2001.6908403361344</v>
      </c>
      <c r="P200" s="32">
        <f t="shared" si="7"/>
        <v>-23820121</v>
      </c>
      <c r="Q200" s="25" t="s">
        <v>223</v>
      </c>
      <c r="R200" s="25" t="s">
        <v>224</v>
      </c>
      <c r="S200" s="27"/>
      <c r="T200" s="25" t="s">
        <v>30</v>
      </c>
      <c r="U200" s="25" t="s">
        <v>331</v>
      </c>
    </row>
    <row r="201" spans="1:21" x14ac:dyDescent="0.2">
      <c r="A201" s="25">
        <v>199</v>
      </c>
      <c r="B201" s="25" t="s">
        <v>108</v>
      </c>
      <c r="C201" s="26">
        <v>45376</v>
      </c>
      <c r="D201" s="25" t="s">
        <v>109</v>
      </c>
      <c r="E201" s="27"/>
      <c r="F201" s="25" t="s">
        <v>332</v>
      </c>
      <c r="G201" s="27"/>
      <c r="H201" s="25" t="s">
        <v>45</v>
      </c>
      <c r="I201" s="25" t="s">
        <v>222</v>
      </c>
      <c r="J201" s="25" t="s">
        <v>113</v>
      </c>
      <c r="K201" s="28"/>
      <c r="L201" s="29"/>
      <c r="M201" s="30">
        <f>IF(N201=0,0,N201/LOOKUP(C201,Settings!$F$5:$F$20,Settings!$G$5:$G$20))</f>
        <v>699.45613445378149</v>
      </c>
      <c r="N201" s="31">
        <v>8323528</v>
      </c>
      <c r="O201" s="32">
        <f t="shared" si="6"/>
        <v>-699.45613445378149</v>
      </c>
      <c r="P201" s="32">
        <f t="shared" si="7"/>
        <v>-8323528</v>
      </c>
      <c r="Q201" s="25" t="s">
        <v>223</v>
      </c>
      <c r="R201" s="25" t="s">
        <v>224</v>
      </c>
      <c r="S201" s="27"/>
      <c r="T201" s="25" t="s">
        <v>30</v>
      </c>
      <c r="U201" s="25" t="s">
        <v>333</v>
      </c>
    </row>
    <row r="202" spans="1:21" x14ac:dyDescent="0.2">
      <c r="A202" s="33">
        <v>200</v>
      </c>
      <c r="B202" s="33" t="s">
        <v>92</v>
      </c>
      <c r="C202" s="34">
        <v>45387</v>
      </c>
      <c r="D202" s="33" t="s">
        <v>93</v>
      </c>
      <c r="E202" s="35"/>
      <c r="F202" s="33" t="s">
        <v>270</v>
      </c>
      <c r="G202" s="35"/>
      <c r="H202" s="33" t="s">
        <v>72</v>
      </c>
      <c r="I202" s="33" t="s">
        <v>222</v>
      </c>
      <c r="J202" s="33" t="s">
        <v>97</v>
      </c>
      <c r="K202" s="36"/>
      <c r="L202" s="37"/>
      <c r="M202" s="38">
        <f>IF(N202=0,0,N202/LOOKUP(C202,Settings!$F$5:$F$20,Settings!$G$5:$G$20))</f>
        <v>13414.323354429489</v>
      </c>
      <c r="N202" s="38">
        <f>'Proekt vaqt va Risk'!T12-(N178+N182+N186+N191+N195+N199)</f>
        <v>161642596.42087534</v>
      </c>
      <c r="O202" s="39">
        <f t="shared" si="6"/>
        <v>-13414.323354429489</v>
      </c>
      <c r="P202" s="39">
        <f t="shared" si="7"/>
        <v>-161642596.42087534</v>
      </c>
      <c r="Q202" s="33" t="s">
        <v>223</v>
      </c>
      <c r="R202" s="33" t="s">
        <v>224</v>
      </c>
      <c r="S202" s="35"/>
      <c r="T202" s="33" t="s">
        <v>30</v>
      </c>
      <c r="U202" s="33" t="s">
        <v>271</v>
      </c>
    </row>
    <row r="203" spans="1:21" x14ac:dyDescent="0.2">
      <c r="A203" s="25">
        <v>201</v>
      </c>
      <c r="B203" s="25" t="s">
        <v>77</v>
      </c>
      <c r="C203" s="26">
        <v>45407</v>
      </c>
      <c r="D203" s="25" t="s">
        <v>78</v>
      </c>
      <c r="E203" s="27"/>
      <c r="F203" s="25" t="s">
        <v>334</v>
      </c>
      <c r="G203" s="27"/>
      <c r="H203" s="25" t="s">
        <v>45</v>
      </c>
      <c r="I203" s="25" t="s">
        <v>222</v>
      </c>
      <c r="J203" s="25" t="s">
        <v>82</v>
      </c>
      <c r="K203" s="28"/>
      <c r="L203" s="29"/>
      <c r="M203" s="30">
        <f>IF(N203=0,0,N203/LOOKUP(C203,Settings!$F$5:$F$20,Settings!$G$5:$G$20))</f>
        <v>2842.7316182572613</v>
      </c>
      <c r="N203" s="31">
        <v>34254916</v>
      </c>
      <c r="O203" s="32">
        <f t="shared" si="6"/>
        <v>-2842.7316182572613</v>
      </c>
      <c r="P203" s="32">
        <f t="shared" si="7"/>
        <v>-34254916</v>
      </c>
      <c r="Q203" s="25" t="s">
        <v>223</v>
      </c>
      <c r="R203" s="25" t="s">
        <v>224</v>
      </c>
      <c r="S203" s="27"/>
      <c r="T203" s="25" t="s">
        <v>30</v>
      </c>
      <c r="U203" s="25" t="s">
        <v>335</v>
      </c>
    </row>
    <row r="204" spans="1:21" x14ac:dyDescent="0.2">
      <c r="A204" s="25">
        <v>202</v>
      </c>
      <c r="B204" s="25" t="s">
        <v>101</v>
      </c>
      <c r="C204" s="26">
        <v>45407</v>
      </c>
      <c r="D204" s="25" t="s">
        <v>102</v>
      </c>
      <c r="E204" s="27"/>
      <c r="F204" s="25" t="s">
        <v>336</v>
      </c>
      <c r="G204" s="27"/>
      <c r="H204" s="25" t="s">
        <v>36</v>
      </c>
      <c r="I204" s="25" t="s">
        <v>222</v>
      </c>
      <c r="J204" s="25" t="s">
        <v>106</v>
      </c>
      <c r="K204" s="28"/>
      <c r="L204" s="29"/>
      <c r="M204" s="30">
        <f>IF(N204=0,0,N204/LOOKUP(C204,Settings!$F$5:$F$20,Settings!$G$5:$G$20))</f>
        <v>2199.1391701244816</v>
      </c>
      <c r="N204" s="31">
        <v>26499627</v>
      </c>
      <c r="O204" s="32">
        <f t="shared" si="6"/>
        <v>-2199.1391701244816</v>
      </c>
      <c r="P204" s="32">
        <f t="shared" si="7"/>
        <v>-26499627</v>
      </c>
      <c r="Q204" s="25" t="s">
        <v>223</v>
      </c>
      <c r="R204" s="25" t="s">
        <v>224</v>
      </c>
      <c r="S204" s="27"/>
      <c r="T204" s="25" t="s">
        <v>30</v>
      </c>
      <c r="U204" s="25" t="s">
        <v>337</v>
      </c>
    </row>
    <row r="205" spans="1:21" x14ac:dyDescent="0.2">
      <c r="A205" s="25">
        <v>203</v>
      </c>
      <c r="B205" s="25" t="s">
        <v>108</v>
      </c>
      <c r="C205" s="26">
        <v>45407</v>
      </c>
      <c r="D205" s="25" t="s">
        <v>109</v>
      </c>
      <c r="E205" s="27"/>
      <c r="F205" s="25" t="s">
        <v>338</v>
      </c>
      <c r="G205" s="27"/>
      <c r="H205" s="25" t="s">
        <v>45</v>
      </c>
      <c r="I205" s="25" t="s">
        <v>222</v>
      </c>
      <c r="J205" s="25" t="s">
        <v>113</v>
      </c>
      <c r="K205" s="28"/>
      <c r="L205" s="29"/>
      <c r="M205" s="30">
        <f>IF(N205=0,0,N205/LOOKUP(C205,Settings!$F$5:$F$20,Settings!$G$5:$G$20))</f>
        <v>463.96199170124481</v>
      </c>
      <c r="N205" s="31">
        <v>5590742</v>
      </c>
      <c r="O205" s="32">
        <f t="shared" si="6"/>
        <v>-463.96199170124481</v>
      </c>
      <c r="P205" s="32">
        <f t="shared" si="7"/>
        <v>-5590742</v>
      </c>
      <c r="Q205" s="25" t="s">
        <v>223</v>
      </c>
      <c r="R205" s="25" t="s">
        <v>224</v>
      </c>
      <c r="S205" s="27"/>
      <c r="T205" s="25" t="s">
        <v>30</v>
      </c>
      <c r="U205" s="25" t="s">
        <v>339</v>
      </c>
    </row>
    <row r="206" spans="1:21" x14ac:dyDescent="0.2">
      <c r="A206" s="25">
        <v>204</v>
      </c>
      <c r="B206" s="25" t="s">
        <v>116</v>
      </c>
      <c r="C206" s="26">
        <v>45407</v>
      </c>
      <c r="D206" s="25" t="s">
        <v>117</v>
      </c>
      <c r="E206" s="27"/>
      <c r="F206" s="25" t="s">
        <v>252</v>
      </c>
      <c r="G206" s="27"/>
      <c r="H206" s="25" t="s">
        <v>25</v>
      </c>
      <c r="I206" s="25" t="s">
        <v>222</v>
      </c>
      <c r="J206" s="25" t="s">
        <v>121</v>
      </c>
      <c r="K206" s="28"/>
      <c r="L206" s="29"/>
      <c r="M206" s="30">
        <f>IF(N206=0,0,N206/LOOKUP(C206,Settings!$F$5:$F$20,Settings!$G$5:$G$20))</f>
        <v>708.91419087136933</v>
      </c>
      <c r="N206" s="31">
        <v>8542416</v>
      </c>
      <c r="O206" s="32">
        <f t="shared" si="6"/>
        <v>-708.91419087136933</v>
      </c>
      <c r="P206" s="32">
        <f t="shared" si="7"/>
        <v>-8542416</v>
      </c>
      <c r="Q206" s="25" t="s">
        <v>223</v>
      </c>
      <c r="R206" s="25" t="s">
        <v>224</v>
      </c>
      <c r="S206" s="27"/>
      <c r="T206" s="25" t="s">
        <v>30</v>
      </c>
      <c r="U206" s="25" t="s">
        <v>253</v>
      </c>
    </row>
    <row r="207" spans="1:21" x14ac:dyDescent="0.2">
      <c r="A207" s="25">
        <v>205</v>
      </c>
      <c r="B207" s="25" t="s">
        <v>77</v>
      </c>
      <c r="C207" s="26">
        <v>45437</v>
      </c>
      <c r="D207" s="25" t="s">
        <v>78</v>
      </c>
      <c r="E207" s="27"/>
      <c r="F207" s="25" t="s">
        <v>340</v>
      </c>
      <c r="G207" s="27"/>
      <c r="H207" s="25" t="s">
        <v>45</v>
      </c>
      <c r="I207" s="25" t="s">
        <v>222</v>
      </c>
      <c r="J207" s="25" t="s">
        <v>82</v>
      </c>
      <c r="K207" s="28"/>
      <c r="L207" s="29"/>
      <c r="M207" s="30">
        <f>IF(N207=0,0,N207/LOOKUP(C207,Settings!$F$5:$F$20,Settings!$G$5:$G$20))</f>
        <v>2072.9839834024897</v>
      </c>
      <c r="N207" s="31">
        <v>24979457</v>
      </c>
      <c r="O207" s="32">
        <f t="shared" si="6"/>
        <v>-2072.9839834024897</v>
      </c>
      <c r="P207" s="32">
        <f t="shared" si="7"/>
        <v>-24979457</v>
      </c>
      <c r="Q207" s="25" t="s">
        <v>223</v>
      </c>
      <c r="R207" s="25" t="s">
        <v>224</v>
      </c>
      <c r="S207" s="27"/>
      <c r="T207" s="25" t="s">
        <v>30</v>
      </c>
      <c r="U207" s="25" t="s">
        <v>341</v>
      </c>
    </row>
    <row r="208" spans="1:21" x14ac:dyDescent="0.2">
      <c r="A208" s="25">
        <v>206</v>
      </c>
      <c r="B208" s="25" t="s">
        <v>101</v>
      </c>
      <c r="C208" s="26">
        <v>45437</v>
      </c>
      <c r="D208" s="25" t="s">
        <v>102</v>
      </c>
      <c r="E208" s="27"/>
      <c r="F208" s="25" t="s">
        <v>342</v>
      </c>
      <c r="G208" s="27"/>
      <c r="H208" s="25" t="s">
        <v>36</v>
      </c>
      <c r="I208" s="25" t="s">
        <v>222</v>
      </c>
      <c r="J208" s="25" t="s">
        <v>106</v>
      </c>
      <c r="K208" s="28"/>
      <c r="L208" s="29"/>
      <c r="M208" s="30">
        <f>IF(N208=0,0,N208/LOOKUP(C208,Settings!$F$5:$F$20,Settings!$G$5:$G$20))</f>
        <v>2475.9888796680498</v>
      </c>
      <c r="N208" s="31">
        <v>29835666</v>
      </c>
      <c r="O208" s="32">
        <f t="shared" si="6"/>
        <v>-2475.9888796680498</v>
      </c>
      <c r="P208" s="32">
        <f t="shared" si="7"/>
        <v>-29835666</v>
      </c>
      <c r="Q208" s="25" t="s">
        <v>223</v>
      </c>
      <c r="R208" s="25" t="s">
        <v>224</v>
      </c>
      <c r="S208" s="27"/>
      <c r="T208" s="25" t="s">
        <v>30</v>
      </c>
      <c r="U208" s="25" t="s">
        <v>343</v>
      </c>
    </row>
    <row r="209" spans="1:21" x14ac:dyDescent="0.2">
      <c r="A209" s="25">
        <v>207</v>
      </c>
      <c r="B209" s="25" t="s">
        <v>108</v>
      </c>
      <c r="C209" s="26">
        <v>45437</v>
      </c>
      <c r="D209" s="25" t="s">
        <v>109</v>
      </c>
      <c r="E209" s="27"/>
      <c r="F209" s="25" t="s">
        <v>344</v>
      </c>
      <c r="G209" s="27"/>
      <c r="H209" s="25" t="s">
        <v>45</v>
      </c>
      <c r="I209" s="25" t="s">
        <v>222</v>
      </c>
      <c r="J209" s="25" t="s">
        <v>113</v>
      </c>
      <c r="K209" s="28"/>
      <c r="L209" s="29"/>
      <c r="M209" s="30">
        <f>IF(N209=0,0,N209/LOOKUP(C209,Settings!$F$5:$F$20,Settings!$G$5:$G$20))</f>
        <v>289.58290456431536</v>
      </c>
      <c r="N209" s="31">
        <v>3489474</v>
      </c>
      <c r="O209" s="32">
        <f t="shared" si="6"/>
        <v>-289.58290456431536</v>
      </c>
      <c r="P209" s="32">
        <f t="shared" si="7"/>
        <v>-3489474</v>
      </c>
      <c r="Q209" s="25" t="s">
        <v>223</v>
      </c>
      <c r="R209" s="25" t="s">
        <v>224</v>
      </c>
      <c r="S209" s="27"/>
      <c r="T209" s="25" t="s">
        <v>30</v>
      </c>
      <c r="U209" s="25" t="s">
        <v>345</v>
      </c>
    </row>
    <row r="210" spans="1:21" x14ac:dyDescent="0.2">
      <c r="A210" s="25">
        <v>208</v>
      </c>
      <c r="B210" s="25" t="s">
        <v>116</v>
      </c>
      <c r="C210" s="26">
        <v>45437</v>
      </c>
      <c r="D210" s="25" t="s">
        <v>117</v>
      </c>
      <c r="E210" s="27"/>
      <c r="F210" s="25" t="s">
        <v>260</v>
      </c>
      <c r="G210" s="27"/>
      <c r="H210" s="25" t="s">
        <v>25</v>
      </c>
      <c r="I210" s="25" t="s">
        <v>222</v>
      </c>
      <c r="J210" s="25" t="s">
        <v>121</v>
      </c>
      <c r="K210" s="28"/>
      <c r="L210" s="29"/>
      <c r="M210" s="30">
        <f>IF(N210=0,0,N210/LOOKUP(C210,Settings!$F$5:$F$20,Settings!$G$5:$G$20))</f>
        <v>548.52738589211617</v>
      </c>
      <c r="N210" s="31">
        <v>6609755</v>
      </c>
      <c r="O210" s="32">
        <f t="shared" si="6"/>
        <v>-548.52738589211617</v>
      </c>
      <c r="P210" s="32">
        <f t="shared" si="7"/>
        <v>-6609755</v>
      </c>
      <c r="Q210" s="25" t="s">
        <v>223</v>
      </c>
      <c r="R210" s="25" t="s">
        <v>224</v>
      </c>
      <c r="S210" s="27"/>
      <c r="T210" s="25" t="s">
        <v>30</v>
      </c>
      <c r="U210" s="25" t="s">
        <v>261</v>
      </c>
    </row>
    <row r="211" spans="1:21" x14ac:dyDescent="0.2">
      <c r="A211" s="33">
        <v>209</v>
      </c>
      <c r="B211" s="33" t="s">
        <v>77</v>
      </c>
      <c r="C211" s="34">
        <v>45448</v>
      </c>
      <c r="D211" s="33" t="s">
        <v>78</v>
      </c>
      <c r="E211" s="35"/>
      <c r="F211" s="33" t="s">
        <v>270</v>
      </c>
      <c r="G211" s="35"/>
      <c r="H211" s="33" t="s">
        <v>45</v>
      </c>
      <c r="I211" s="33" t="s">
        <v>222</v>
      </c>
      <c r="J211" s="33" t="s">
        <v>82</v>
      </c>
      <c r="K211" s="36"/>
      <c r="L211" s="37"/>
      <c r="M211" s="38">
        <f>IF(N211=0,0,N211/LOOKUP(C211,Settings!$F$5:$F$20,Settings!$G$5:$G$20))</f>
        <v>-27205.789806781508</v>
      </c>
      <c r="N211" s="38">
        <f>'Proekt vaqt va Risk'!T10-(N165+N168+N170+N173+N176+N180+N184+N189+N194+N198+N203+N207)</f>
        <v>-327829767.17171717</v>
      </c>
      <c r="O211" s="39">
        <f t="shared" si="6"/>
        <v>27205.789806781508</v>
      </c>
      <c r="P211" s="39">
        <f t="shared" si="7"/>
        <v>327829767.17171717</v>
      </c>
      <c r="Q211" s="33" t="s">
        <v>223</v>
      </c>
      <c r="R211" s="33" t="s">
        <v>224</v>
      </c>
      <c r="S211" s="35"/>
      <c r="T211" s="33" t="s">
        <v>30</v>
      </c>
      <c r="U211" s="33" t="s">
        <v>271</v>
      </c>
    </row>
    <row r="212" spans="1:21" x14ac:dyDescent="0.2">
      <c r="A212" s="33">
        <v>210</v>
      </c>
      <c r="B212" s="33" t="s">
        <v>108</v>
      </c>
      <c r="C212" s="34">
        <v>45448</v>
      </c>
      <c r="D212" s="33" t="s">
        <v>109</v>
      </c>
      <c r="E212" s="35"/>
      <c r="F212" s="33" t="s">
        <v>270</v>
      </c>
      <c r="G212" s="35"/>
      <c r="H212" s="33" t="s">
        <v>45</v>
      </c>
      <c r="I212" s="33" t="s">
        <v>222</v>
      </c>
      <c r="J212" s="33" t="s">
        <v>113</v>
      </c>
      <c r="K212" s="36"/>
      <c r="L212" s="37"/>
      <c r="M212" s="38">
        <f>IF(N212=0,0,N212/LOOKUP(C212,Settings!$F$5:$F$20,Settings!$G$5:$G$20))</f>
        <v>15486.22177738659</v>
      </c>
      <c r="N212" s="38">
        <f>'Proekt vaqt va Risk'!T14-(N197+N201+N205+N209)</f>
        <v>186608972.41750842</v>
      </c>
      <c r="O212" s="39">
        <f t="shared" si="6"/>
        <v>-15486.22177738659</v>
      </c>
      <c r="P212" s="39">
        <f t="shared" si="7"/>
        <v>-186608972.41750842</v>
      </c>
      <c r="Q212" s="33" t="s">
        <v>223</v>
      </c>
      <c r="R212" s="33" t="s">
        <v>224</v>
      </c>
      <c r="S212" s="35"/>
      <c r="T212" s="33" t="s">
        <v>30</v>
      </c>
      <c r="U212" s="33" t="s">
        <v>271</v>
      </c>
    </row>
    <row r="213" spans="1:21" x14ac:dyDescent="0.2">
      <c r="A213" s="25">
        <v>211</v>
      </c>
      <c r="B213" s="25" t="s">
        <v>101</v>
      </c>
      <c r="C213" s="26">
        <v>45468</v>
      </c>
      <c r="D213" s="25" t="s">
        <v>102</v>
      </c>
      <c r="E213" s="27"/>
      <c r="F213" s="25" t="s">
        <v>346</v>
      </c>
      <c r="G213" s="27"/>
      <c r="H213" s="25" t="s">
        <v>36</v>
      </c>
      <c r="I213" s="25" t="s">
        <v>222</v>
      </c>
      <c r="J213" s="25" t="s">
        <v>106</v>
      </c>
      <c r="K213" s="28"/>
      <c r="L213" s="29"/>
      <c r="M213" s="30">
        <f>IF(N213=0,0,N213/LOOKUP(C213,Settings!$F$5:$F$20,Settings!$G$5:$G$20))</f>
        <v>936.34522821576763</v>
      </c>
      <c r="N213" s="31">
        <v>11282960</v>
      </c>
      <c r="O213" s="32">
        <f t="shared" si="6"/>
        <v>-936.34522821576763</v>
      </c>
      <c r="P213" s="32">
        <f t="shared" si="7"/>
        <v>-11282960</v>
      </c>
      <c r="Q213" s="25" t="s">
        <v>223</v>
      </c>
      <c r="R213" s="25" t="s">
        <v>224</v>
      </c>
      <c r="S213" s="27"/>
      <c r="T213" s="25" t="s">
        <v>30</v>
      </c>
      <c r="U213" s="25" t="s">
        <v>347</v>
      </c>
    </row>
    <row r="214" spans="1:21" x14ac:dyDescent="0.2">
      <c r="A214" s="25">
        <v>212</v>
      </c>
      <c r="B214" s="25" t="s">
        <v>116</v>
      </c>
      <c r="C214" s="26">
        <v>45468</v>
      </c>
      <c r="D214" s="25" t="s">
        <v>117</v>
      </c>
      <c r="E214" s="27"/>
      <c r="F214" s="25" t="s">
        <v>268</v>
      </c>
      <c r="G214" s="27"/>
      <c r="H214" s="25" t="s">
        <v>25</v>
      </c>
      <c r="I214" s="25" t="s">
        <v>222</v>
      </c>
      <c r="J214" s="25" t="s">
        <v>121</v>
      </c>
      <c r="K214" s="28"/>
      <c r="L214" s="29"/>
      <c r="M214" s="30">
        <f>IF(N214=0,0,N214/LOOKUP(C214,Settings!$F$5:$F$20,Settings!$G$5:$G$20))</f>
        <v>727.28556016597508</v>
      </c>
      <c r="N214" s="31">
        <v>8763791</v>
      </c>
      <c r="O214" s="32">
        <f t="shared" si="6"/>
        <v>-727.28556016597508</v>
      </c>
      <c r="P214" s="32">
        <f t="shared" si="7"/>
        <v>-8763791</v>
      </c>
      <c r="Q214" s="25" t="s">
        <v>223</v>
      </c>
      <c r="R214" s="25" t="s">
        <v>224</v>
      </c>
      <c r="S214" s="27"/>
      <c r="T214" s="25" t="s">
        <v>30</v>
      </c>
      <c r="U214" s="25" t="s">
        <v>269</v>
      </c>
    </row>
    <row r="215" spans="1:21" x14ac:dyDescent="0.2">
      <c r="A215" s="25">
        <v>213</v>
      </c>
      <c r="B215" s="25" t="s">
        <v>124</v>
      </c>
      <c r="C215" s="26">
        <v>45468</v>
      </c>
      <c r="D215" s="25" t="s">
        <v>125</v>
      </c>
      <c r="E215" s="27"/>
      <c r="F215" s="25" t="s">
        <v>348</v>
      </c>
      <c r="G215" s="27"/>
      <c r="H215" s="25" t="s">
        <v>128</v>
      </c>
      <c r="I215" s="25" t="s">
        <v>222</v>
      </c>
      <c r="J215" s="25" t="s">
        <v>130</v>
      </c>
      <c r="K215" s="28"/>
      <c r="L215" s="29"/>
      <c r="M215" s="30">
        <f>IF(N215=0,0,N215/LOOKUP(C215,Settings!$F$5:$F$20,Settings!$G$5:$G$20))</f>
        <v>238.27070539419088</v>
      </c>
      <c r="N215" s="31">
        <v>2871162</v>
      </c>
      <c r="O215" s="32">
        <f t="shared" si="6"/>
        <v>-238.27070539419088</v>
      </c>
      <c r="P215" s="32">
        <f t="shared" si="7"/>
        <v>-2871162</v>
      </c>
      <c r="Q215" s="25" t="s">
        <v>223</v>
      </c>
      <c r="R215" s="25" t="s">
        <v>224</v>
      </c>
      <c r="S215" s="27"/>
      <c r="T215" s="25" t="s">
        <v>30</v>
      </c>
      <c r="U215" s="25" t="s">
        <v>349</v>
      </c>
    </row>
    <row r="216" spans="1:21" x14ac:dyDescent="0.2">
      <c r="A216" s="33">
        <v>214</v>
      </c>
      <c r="B216" s="33" t="s">
        <v>101</v>
      </c>
      <c r="C216" s="34">
        <v>45478</v>
      </c>
      <c r="D216" s="33" t="s">
        <v>102</v>
      </c>
      <c r="E216" s="35"/>
      <c r="F216" s="33" t="s">
        <v>270</v>
      </c>
      <c r="G216" s="35"/>
      <c r="H216" s="33" t="s">
        <v>36</v>
      </c>
      <c r="I216" s="33" t="s">
        <v>222</v>
      </c>
      <c r="J216" s="33" t="s">
        <v>106</v>
      </c>
      <c r="K216" s="36"/>
      <c r="L216" s="37"/>
      <c r="M216" s="38">
        <f>IF(N216=0,0,N216/LOOKUP(C216,Settings!$F$5:$F$20,Settings!$G$5:$G$20))</f>
        <v>936.10739829993884</v>
      </c>
      <c r="N216" s="38">
        <f>'Proekt vaqt va Risk'!T13-(N187+N192+N196+N200+N204+N208+N213)</f>
        <v>11420510.259259254</v>
      </c>
      <c r="O216" s="39">
        <f t="shared" si="6"/>
        <v>-936.10739829993884</v>
      </c>
      <c r="P216" s="39">
        <f t="shared" si="7"/>
        <v>-11420510.259259254</v>
      </c>
      <c r="Q216" s="33" t="s">
        <v>223</v>
      </c>
      <c r="R216" s="33" t="s">
        <v>224</v>
      </c>
      <c r="S216" s="35"/>
      <c r="T216" s="33" t="s">
        <v>30</v>
      </c>
      <c r="U216" s="33" t="s">
        <v>271</v>
      </c>
    </row>
    <row r="217" spans="1:21" x14ac:dyDescent="0.2">
      <c r="A217" s="25">
        <v>215</v>
      </c>
      <c r="B217" s="25" t="s">
        <v>116</v>
      </c>
      <c r="C217" s="26">
        <v>45498</v>
      </c>
      <c r="D217" s="25" t="s">
        <v>117</v>
      </c>
      <c r="E217" s="27"/>
      <c r="F217" s="25" t="s">
        <v>276</v>
      </c>
      <c r="G217" s="27"/>
      <c r="H217" s="25" t="s">
        <v>25</v>
      </c>
      <c r="I217" s="25" t="s">
        <v>222</v>
      </c>
      <c r="J217" s="25" t="s">
        <v>121</v>
      </c>
      <c r="K217" s="28"/>
      <c r="L217" s="29"/>
      <c r="M217" s="30">
        <f>IF(N217=0,0,N217/LOOKUP(C217,Settings!$F$5:$F$20,Settings!$G$5:$G$20))</f>
        <v>940.5769672131147</v>
      </c>
      <c r="N217" s="31">
        <v>11475039</v>
      </c>
      <c r="O217" s="32">
        <f t="shared" si="6"/>
        <v>-940.5769672131147</v>
      </c>
      <c r="P217" s="32">
        <f t="shared" si="7"/>
        <v>-11475039</v>
      </c>
      <c r="Q217" s="25" t="s">
        <v>223</v>
      </c>
      <c r="R217" s="25" t="s">
        <v>224</v>
      </c>
      <c r="S217" s="27"/>
      <c r="T217" s="25" t="s">
        <v>30</v>
      </c>
      <c r="U217" s="25" t="s">
        <v>277</v>
      </c>
    </row>
    <row r="218" spans="1:21" x14ac:dyDescent="0.2">
      <c r="A218" s="25">
        <v>216</v>
      </c>
      <c r="B218" s="25" t="s">
        <v>124</v>
      </c>
      <c r="C218" s="26">
        <v>45498</v>
      </c>
      <c r="D218" s="25" t="s">
        <v>125</v>
      </c>
      <c r="E218" s="27"/>
      <c r="F218" s="25" t="s">
        <v>350</v>
      </c>
      <c r="G218" s="27"/>
      <c r="H218" s="25" t="s">
        <v>128</v>
      </c>
      <c r="I218" s="25" t="s">
        <v>222</v>
      </c>
      <c r="J218" s="25" t="s">
        <v>130</v>
      </c>
      <c r="K218" s="28"/>
      <c r="L218" s="29"/>
      <c r="M218" s="30">
        <f>IF(N218=0,0,N218/LOOKUP(C218,Settings!$F$5:$F$20,Settings!$G$5:$G$20))</f>
        <v>409.41516393442623</v>
      </c>
      <c r="N218" s="31">
        <v>4994865</v>
      </c>
      <c r="O218" s="32">
        <f t="shared" si="6"/>
        <v>-409.41516393442623</v>
      </c>
      <c r="P218" s="32">
        <f t="shared" si="7"/>
        <v>-4994865</v>
      </c>
      <c r="Q218" s="25" t="s">
        <v>223</v>
      </c>
      <c r="R218" s="25" t="s">
        <v>224</v>
      </c>
      <c r="S218" s="27"/>
      <c r="T218" s="25" t="s">
        <v>30</v>
      </c>
      <c r="U218" s="25" t="s">
        <v>351</v>
      </c>
    </row>
    <row r="219" spans="1:21" x14ac:dyDescent="0.2">
      <c r="A219" s="25">
        <v>217</v>
      </c>
      <c r="B219" s="25" t="s">
        <v>116</v>
      </c>
      <c r="C219" s="26">
        <v>45529</v>
      </c>
      <c r="D219" s="25" t="s">
        <v>117</v>
      </c>
      <c r="E219" s="27"/>
      <c r="F219" s="25" t="s">
        <v>280</v>
      </c>
      <c r="G219" s="27"/>
      <c r="H219" s="25" t="s">
        <v>25</v>
      </c>
      <c r="I219" s="25" t="s">
        <v>222</v>
      </c>
      <c r="J219" s="25" t="s">
        <v>121</v>
      </c>
      <c r="K219" s="28"/>
      <c r="L219" s="29"/>
      <c r="M219" s="30">
        <f>IF(N219=0,0,N219/LOOKUP(C219,Settings!$F$5:$F$20,Settings!$G$5:$G$20))</f>
        <v>246.95024590163933</v>
      </c>
      <c r="N219" s="31">
        <v>3012793</v>
      </c>
      <c r="O219" s="32">
        <f t="shared" si="6"/>
        <v>-246.95024590163933</v>
      </c>
      <c r="P219" s="32">
        <f t="shared" si="7"/>
        <v>-3012793</v>
      </c>
      <c r="Q219" s="25" t="s">
        <v>223</v>
      </c>
      <c r="R219" s="25" t="s">
        <v>224</v>
      </c>
      <c r="S219" s="27"/>
      <c r="T219" s="25" t="s">
        <v>30</v>
      </c>
      <c r="U219" s="25" t="s">
        <v>281</v>
      </c>
    </row>
    <row r="220" spans="1:21" x14ac:dyDescent="0.2">
      <c r="A220" s="25">
        <v>218</v>
      </c>
      <c r="B220" s="25" t="s">
        <v>124</v>
      </c>
      <c r="C220" s="26">
        <v>45529</v>
      </c>
      <c r="D220" s="25" t="s">
        <v>125</v>
      </c>
      <c r="E220" s="27"/>
      <c r="F220" s="25" t="s">
        <v>352</v>
      </c>
      <c r="G220" s="27"/>
      <c r="H220" s="25" t="s">
        <v>128</v>
      </c>
      <c r="I220" s="25" t="s">
        <v>222</v>
      </c>
      <c r="J220" s="25" t="s">
        <v>130</v>
      </c>
      <c r="K220" s="28"/>
      <c r="L220" s="29"/>
      <c r="M220" s="30">
        <f>IF(N220=0,0,N220/LOOKUP(C220,Settings!$F$5:$F$20,Settings!$G$5:$G$20))</f>
        <v>219.80877049180327</v>
      </c>
      <c r="N220" s="31">
        <v>2681667</v>
      </c>
      <c r="O220" s="32">
        <f t="shared" si="6"/>
        <v>-219.80877049180327</v>
      </c>
      <c r="P220" s="32">
        <f t="shared" si="7"/>
        <v>-2681667</v>
      </c>
      <c r="Q220" s="25" t="s">
        <v>223</v>
      </c>
      <c r="R220" s="25" t="s">
        <v>224</v>
      </c>
      <c r="S220" s="27"/>
      <c r="T220" s="25" t="s">
        <v>30</v>
      </c>
      <c r="U220" s="25" t="s">
        <v>353</v>
      </c>
    </row>
    <row r="221" spans="1:21" x14ac:dyDescent="0.2">
      <c r="A221" s="25">
        <v>219</v>
      </c>
      <c r="B221" s="25" t="s">
        <v>134</v>
      </c>
      <c r="C221" s="26">
        <v>45529</v>
      </c>
      <c r="D221" s="25" t="s">
        <v>135</v>
      </c>
      <c r="E221" s="27"/>
      <c r="F221" s="25" t="s">
        <v>316</v>
      </c>
      <c r="G221" s="27"/>
      <c r="H221" s="25" t="s">
        <v>36</v>
      </c>
      <c r="I221" s="25" t="s">
        <v>222</v>
      </c>
      <c r="J221" s="25" t="s">
        <v>139</v>
      </c>
      <c r="K221" s="28"/>
      <c r="L221" s="29"/>
      <c r="M221" s="30">
        <f>IF(N221=0,0,N221/LOOKUP(C221,Settings!$F$5:$F$20,Settings!$G$5:$G$20))</f>
        <v>509.89827868852461</v>
      </c>
      <c r="N221" s="31">
        <v>6220759</v>
      </c>
      <c r="O221" s="32">
        <f t="shared" si="6"/>
        <v>-509.89827868852461</v>
      </c>
      <c r="P221" s="32">
        <f t="shared" si="7"/>
        <v>-6220759</v>
      </c>
      <c r="Q221" s="25" t="s">
        <v>223</v>
      </c>
      <c r="R221" s="25" t="s">
        <v>224</v>
      </c>
      <c r="S221" s="27"/>
      <c r="T221" s="25" t="s">
        <v>30</v>
      </c>
      <c r="U221" s="25" t="s">
        <v>317</v>
      </c>
    </row>
    <row r="222" spans="1:21" x14ac:dyDescent="0.2">
      <c r="A222" s="33">
        <v>220</v>
      </c>
      <c r="B222" s="33" t="s">
        <v>116</v>
      </c>
      <c r="C222" s="34">
        <v>45540</v>
      </c>
      <c r="D222" s="33" t="s">
        <v>117</v>
      </c>
      <c r="E222" s="35"/>
      <c r="F222" s="33" t="s">
        <v>270</v>
      </c>
      <c r="G222" s="35"/>
      <c r="H222" s="33" t="s">
        <v>25</v>
      </c>
      <c r="I222" s="33" t="s">
        <v>222</v>
      </c>
      <c r="J222" s="33" t="s">
        <v>121</v>
      </c>
      <c r="K222" s="36"/>
      <c r="L222" s="37"/>
      <c r="M222" s="38">
        <f>IF(N222=0,0,N222/LOOKUP(C222,Settings!$F$5:$F$20,Settings!$G$5:$G$20))</f>
        <v>11043.07699453552</v>
      </c>
      <c r="N222" s="38">
        <f>'Proekt vaqt va Risk'!T15-(N206+N210+N214+N217+N219)</f>
        <v>134725539.33333334</v>
      </c>
      <c r="O222" s="39">
        <f t="shared" si="6"/>
        <v>-11043.07699453552</v>
      </c>
      <c r="P222" s="39">
        <f t="shared" si="7"/>
        <v>-134725539.33333334</v>
      </c>
      <c r="Q222" s="33" t="s">
        <v>223</v>
      </c>
      <c r="R222" s="33" t="s">
        <v>224</v>
      </c>
      <c r="S222" s="35"/>
      <c r="T222" s="33" t="s">
        <v>30</v>
      </c>
      <c r="U222" s="33" t="s">
        <v>271</v>
      </c>
    </row>
    <row r="223" spans="1:21" x14ac:dyDescent="0.2">
      <c r="A223" s="33">
        <v>221</v>
      </c>
      <c r="B223" s="33" t="s">
        <v>124</v>
      </c>
      <c r="C223" s="34">
        <v>45540</v>
      </c>
      <c r="D223" s="33" t="s">
        <v>125</v>
      </c>
      <c r="E223" s="35"/>
      <c r="F223" s="33" t="s">
        <v>270</v>
      </c>
      <c r="G223" s="35"/>
      <c r="H223" s="33" t="s">
        <v>128</v>
      </c>
      <c r="I223" s="33" t="s">
        <v>222</v>
      </c>
      <c r="J223" s="33" t="s">
        <v>130</v>
      </c>
      <c r="K223" s="36"/>
      <c r="L223" s="37"/>
      <c r="M223" s="38">
        <f>IF(N223=0,0,N223/LOOKUP(C223,Settings!$F$5:$F$20,Settings!$G$5:$G$20))</f>
        <v>13372.232428658168</v>
      </c>
      <c r="N223" s="38">
        <f>'Proekt vaqt va Risk'!T16-(N215+N218+N220)</f>
        <v>163141235.62962964</v>
      </c>
      <c r="O223" s="39">
        <f t="shared" si="6"/>
        <v>-13372.232428658168</v>
      </c>
      <c r="P223" s="39">
        <f t="shared" si="7"/>
        <v>-163141235.62962964</v>
      </c>
      <c r="Q223" s="33" t="s">
        <v>223</v>
      </c>
      <c r="R223" s="33" t="s">
        <v>224</v>
      </c>
      <c r="S223" s="35"/>
      <c r="T223" s="33" t="s">
        <v>30</v>
      </c>
      <c r="U223" s="33" t="s">
        <v>271</v>
      </c>
    </row>
    <row r="224" spans="1:21" x14ac:dyDescent="0.2">
      <c r="A224" s="25">
        <v>222</v>
      </c>
      <c r="B224" s="25" t="s">
        <v>134</v>
      </c>
      <c r="C224" s="26">
        <v>45560</v>
      </c>
      <c r="D224" s="25" t="s">
        <v>135</v>
      </c>
      <c r="E224" s="27"/>
      <c r="F224" s="25" t="s">
        <v>320</v>
      </c>
      <c r="G224" s="27"/>
      <c r="H224" s="25" t="s">
        <v>36</v>
      </c>
      <c r="I224" s="25" t="s">
        <v>222</v>
      </c>
      <c r="J224" s="25" t="s">
        <v>139</v>
      </c>
      <c r="K224" s="28"/>
      <c r="L224" s="29"/>
      <c r="M224" s="30">
        <f>IF(N224=0,0,N224/LOOKUP(C224,Settings!$F$5:$F$20,Settings!$G$5:$G$20))</f>
        <v>1578.1824590163935</v>
      </c>
      <c r="N224" s="31">
        <v>19253826</v>
      </c>
      <c r="O224" s="32">
        <f t="shared" si="6"/>
        <v>-1578.1824590163935</v>
      </c>
      <c r="P224" s="32">
        <f t="shared" si="7"/>
        <v>-19253826</v>
      </c>
      <c r="Q224" s="25" t="s">
        <v>223</v>
      </c>
      <c r="R224" s="25" t="s">
        <v>224</v>
      </c>
      <c r="S224" s="27"/>
      <c r="T224" s="25" t="s">
        <v>30</v>
      </c>
      <c r="U224" s="25" t="s">
        <v>321</v>
      </c>
    </row>
    <row r="225" spans="1:21" x14ac:dyDescent="0.2">
      <c r="A225" s="25">
        <v>223</v>
      </c>
      <c r="B225" s="25" t="s">
        <v>134</v>
      </c>
      <c r="C225" s="26">
        <v>45590</v>
      </c>
      <c r="D225" s="25" t="s">
        <v>135</v>
      </c>
      <c r="E225" s="27"/>
      <c r="F225" s="25" t="s">
        <v>324</v>
      </c>
      <c r="G225" s="27"/>
      <c r="H225" s="25" t="s">
        <v>36</v>
      </c>
      <c r="I225" s="25" t="s">
        <v>222</v>
      </c>
      <c r="J225" s="25" t="s">
        <v>139</v>
      </c>
      <c r="K225" s="28"/>
      <c r="L225" s="29"/>
      <c r="M225" s="30">
        <f>IF(N225=0,0,N225/LOOKUP(C225,Settings!$F$5:$F$20,Settings!$G$5:$G$20))</f>
        <v>1822.9977327935223</v>
      </c>
      <c r="N225" s="31">
        <v>22514022</v>
      </c>
      <c r="O225" s="32">
        <f t="shared" si="6"/>
        <v>-1822.9977327935223</v>
      </c>
      <c r="P225" s="32">
        <f t="shared" si="7"/>
        <v>-22514022</v>
      </c>
      <c r="Q225" s="25" t="s">
        <v>223</v>
      </c>
      <c r="R225" s="25" t="s">
        <v>224</v>
      </c>
      <c r="S225" s="27"/>
      <c r="T225" s="25" t="s">
        <v>30</v>
      </c>
      <c r="U225" s="25" t="s">
        <v>325</v>
      </c>
    </row>
    <row r="226" spans="1:21" x14ac:dyDescent="0.2">
      <c r="A226" s="25">
        <v>224</v>
      </c>
      <c r="B226" s="25" t="s">
        <v>141</v>
      </c>
      <c r="C226" s="26">
        <v>45590</v>
      </c>
      <c r="D226" s="25" t="s">
        <v>142</v>
      </c>
      <c r="E226" s="27"/>
      <c r="F226" s="25" t="s">
        <v>326</v>
      </c>
      <c r="G226" s="27"/>
      <c r="H226" s="25" t="s">
        <v>45</v>
      </c>
      <c r="I226" s="25" t="s">
        <v>222</v>
      </c>
      <c r="J226" s="25" t="s">
        <v>146</v>
      </c>
      <c r="K226" s="28"/>
      <c r="L226" s="29"/>
      <c r="M226" s="30">
        <f>IF(N226=0,0,N226/LOOKUP(C226,Settings!$F$5:$F$20,Settings!$G$5:$G$20))</f>
        <v>332.50064777327935</v>
      </c>
      <c r="N226" s="31">
        <v>4106383</v>
      </c>
      <c r="O226" s="32">
        <f t="shared" si="6"/>
        <v>-332.50064777327935</v>
      </c>
      <c r="P226" s="32">
        <f t="shared" si="7"/>
        <v>-4106383</v>
      </c>
      <c r="Q226" s="25" t="s">
        <v>223</v>
      </c>
      <c r="R226" s="25" t="s">
        <v>224</v>
      </c>
      <c r="S226" s="27"/>
      <c r="T226" s="25" t="s">
        <v>30</v>
      </c>
      <c r="U226" s="25" t="s">
        <v>327</v>
      </c>
    </row>
    <row r="227" spans="1:21" x14ac:dyDescent="0.2">
      <c r="A227" s="25">
        <v>225</v>
      </c>
      <c r="B227" s="25" t="s">
        <v>134</v>
      </c>
      <c r="C227" s="26">
        <v>45621</v>
      </c>
      <c r="D227" s="25" t="s">
        <v>135</v>
      </c>
      <c r="E227" s="27"/>
      <c r="F227" s="25" t="s">
        <v>330</v>
      </c>
      <c r="G227" s="27"/>
      <c r="H227" s="25" t="s">
        <v>36</v>
      </c>
      <c r="I227" s="25" t="s">
        <v>222</v>
      </c>
      <c r="J227" s="25" t="s">
        <v>139</v>
      </c>
      <c r="K227" s="28"/>
      <c r="L227" s="29"/>
      <c r="M227" s="30">
        <f>IF(N227=0,0,N227/LOOKUP(C227,Settings!$F$5:$F$20,Settings!$G$5:$G$20))</f>
        <v>1325.5022672064777</v>
      </c>
      <c r="N227" s="31">
        <v>16369953</v>
      </c>
      <c r="O227" s="32">
        <f t="shared" si="6"/>
        <v>-1325.5022672064777</v>
      </c>
      <c r="P227" s="32">
        <f t="shared" si="7"/>
        <v>-16369953</v>
      </c>
      <c r="Q227" s="25" t="s">
        <v>223</v>
      </c>
      <c r="R227" s="25" t="s">
        <v>224</v>
      </c>
      <c r="S227" s="27"/>
      <c r="T227" s="25" t="s">
        <v>30</v>
      </c>
      <c r="U227" s="25" t="s">
        <v>331</v>
      </c>
    </row>
    <row r="228" spans="1:21" x14ac:dyDescent="0.2">
      <c r="A228" s="25">
        <v>226</v>
      </c>
      <c r="B228" s="25" t="s">
        <v>141</v>
      </c>
      <c r="C228" s="26">
        <v>45621</v>
      </c>
      <c r="D228" s="25" t="s">
        <v>142</v>
      </c>
      <c r="E228" s="27"/>
      <c r="F228" s="25" t="s">
        <v>332</v>
      </c>
      <c r="G228" s="27"/>
      <c r="H228" s="25" t="s">
        <v>45</v>
      </c>
      <c r="I228" s="25" t="s">
        <v>222</v>
      </c>
      <c r="J228" s="25" t="s">
        <v>146</v>
      </c>
      <c r="K228" s="28"/>
      <c r="L228" s="29"/>
      <c r="M228" s="30">
        <f>IF(N228=0,0,N228/LOOKUP(C228,Settings!$F$5:$F$20,Settings!$G$5:$G$20))</f>
        <v>524.49611336032387</v>
      </c>
      <c r="N228" s="31">
        <v>6477527</v>
      </c>
      <c r="O228" s="32">
        <f t="shared" si="6"/>
        <v>-524.49611336032387</v>
      </c>
      <c r="P228" s="32">
        <f t="shared" si="7"/>
        <v>-6477527</v>
      </c>
      <c r="Q228" s="25" t="s">
        <v>223</v>
      </c>
      <c r="R228" s="25" t="s">
        <v>224</v>
      </c>
      <c r="S228" s="27"/>
      <c r="T228" s="25" t="s">
        <v>30</v>
      </c>
      <c r="U228" s="25" t="s">
        <v>333</v>
      </c>
    </row>
    <row r="229" spans="1:21" x14ac:dyDescent="0.2">
      <c r="A229" s="25">
        <v>227</v>
      </c>
      <c r="B229" s="25" t="s">
        <v>134</v>
      </c>
      <c r="C229" s="26">
        <v>45651</v>
      </c>
      <c r="D229" s="25" t="s">
        <v>135</v>
      </c>
      <c r="E229" s="27"/>
      <c r="F229" s="25" t="s">
        <v>336</v>
      </c>
      <c r="G229" s="27"/>
      <c r="H229" s="25" t="s">
        <v>36</v>
      </c>
      <c r="I229" s="25" t="s">
        <v>222</v>
      </c>
      <c r="J229" s="25" t="s">
        <v>139</v>
      </c>
      <c r="K229" s="28"/>
      <c r="L229" s="29"/>
      <c r="M229" s="30">
        <f>IF(N229=0,0,N229/LOOKUP(C229,Settings!$F$5:$F$20,Settings!$G$5:$G$20))</f>
        <v>1736.2323076923076</v>
      </c>
      <c r="N229" s="31">
        <v>21442469</v>
      </c>
      <c r="O229" s="32">
        <f t="shared" si="6"/>
        <v>-1736.2323076923076</v>
      </c>
      <c r="P229" s="32">
        <f t="shared" si="7"/>
        <v>-21442469</v>
      </c>
      <c r="Q229" s="25" t="s">
        <v>223</v>
      </c>
      <c r="R229" s="25" t="s">
        <v>224</v>
      </c>
      <c r="S229" s="27"/>
      <c r="T229" s="25" t="s">
        <v>30</v>
      </c>
      <c r="U229" s="25" t="s">
        <v>337</v>
      </c>
    </row>
    <row r="230" spans="1:21" x14ac:dyDescent="0.2">
      <c r="A230" s="25">
        <v>228</v>
      </c>
      <c r="B230" s="25" t="s">
        <v>141</v>
      </c>
      <c r="C230" s="26">
        <v>45651</v>
      </c>
      <c r="D230" s="25" t="s">
        <v>142</v>
      </c>
      <c r="E230" s="27"/>
      <c r="F230" s="25" t="s">
        <v>338</v>
      </c>
      <c r="G230" s="27"/>
      <c r="H230" s="25" t="s">
        <v>45</v>
      </c>
      <c r="I230" s="25" t="s">
        <v>222</v>
      </c>
      <c r="J230" s="25" t="s">
        <v>146</v>
      </c>
      <c r="K230" s="28"/>
      <c r="L230" s="29"/>
      <c r="M230" s="30">
        <f>IF(N230=0,0,N230/LOOKUP(C230,Settings!$F$5:$F$20,Settings!$G$5:$G$20))</f>
        <v>633.55319838056676</v>
      </c>
      <c r="N230" s="31">
        <v>7824382</v>
      </c>
      <c r="O230" s="32">
        <f t="shared" si="6"/>
        <v>-633.55319838056676</v>
      </c>
      <c r="P230" s="32">
        <f t="shared" si="7"/>
        <v>-7824382</v>
      </c>
      <c r="Q230" s="25" t="s">
        <v>223</v>
      </c>
      <c r="R230" s="25" t="s">
        <v>224</v>
      </c>
      <c r="S230" s="27"/>
      <c r="T230" s="25" t="s">
        <v>30</v>
      </c>
      <c r="U230" s="25" t="s">
        <v>339</v>
      </c>
    </row>
    <row r="231" spans="1:21" x14ac:dyDescent="0.2">
      <c r="A231" s="25">
        <v>229</v>
      </c>
      <c r="B231" s="25" t="s">
        <v>150</v>
      </c>
      <c r="C231" s="26">
        <v>45651</v>
      </c>
      <c r="D231" s="25" t="s">
        <v>151</v>
      </c>
      <c r="E231" s="27"/>
      <c r="F231" s="25" t="s">
        <v>221</v>
      </c>
      <c r="G231" s="27"/>
      <c r="H231" s="25" t="s">
        <v>25</v>
      </c>
      <c r="I231" s="25" t="s">
        <v>222</v>
      </c>
      <c r="J231" s="25" t="s">
        <v>155</v>
      </c>
      <c r="K231" s="28"/>
      <c r="L231" s="29"/>
      <c r="M231" s="30">
        <f>IF(N231=0,0,N231/LOOKUP(C231,Settings!$F$5:$F$20,Settings!$G$5:$G$20))</f>
        <v>1558.6029149797571</v>
      </c>
      <c r="N231" s="31">
        <v>19248746</v>
      </c>
      <c r="O231" s="32">
        <f t="shared" si="6"/>
        <v>-1558.6029149797571</v>
      </c>
      <c r="P231" s="32">
        <f t="shared" si="7"/>
        <v>-19248746</v>
      </c>
      <c r="Q231" s="25" t="s">
        <v>223</v>
      </c>
      <c r="R231" s="25" t="s">
        <v>224</v>
      </c>
      <c r="S231" s="27"/>
      <c r="T231" s="25" t="s">
        <v>30</v>
      </c>
      <c r="U231" s="25" t="s">
        <v>225</v>
      </c>
    </row>
    <row r="232" spans="1:21" x14ac:dyDescent="0.2">
      <c r="A232" s="25">
        <v>230</v>
      </c>
      <c r="B232" s="25" t="s">
        <v>134</v>
      </c>
      <c r="C232" s="26">
        <v>45682</v>
      </c>
      <c r="D232" s="25" t="s">
        <v>135</v>
      </c>
      <c r="E232" s="27"/>
      <c r="F232" s="25" t="s">
        <v>342</v>
      </c>
      <c r="G232" s="27"/>
      <c r="H232" s="25" t="s">
        <v>36</v>
      </c>
      <c r="I232" s="25" t="s">
        <v>222</v>
      </c>
      <c r="J232" s="25" t="s">
        <v>139</v>
      </c>
      <c r="K232" s="28"/>
      <c r="L232" s="29"/>
      <c r="M232" s="30">
        <f>IF(N232=0,0,N232/LOOKUP(C232,Settings!$F$5:$F$20,Settings!$G$5:$G$20))</f>
        <v>1492.0124800000001</v>
      </c>
      <c r="N232" s="31">
        <v>18650156</v>
      </c>
      <c r="O232" s="32">
        <f t="shared" si="6"/>
        <v>-1492.0124800000001</v>
      </c>
      <c r="P232" s="32">
        <f t="shared" si="7"/>
        <v>-18650156</v>
      </c>
      <c r="Q232" s="25" t="s">
        <v>223</v>
      </c>
      <c r="R232" s="25" t="s">
        <v>224</v>
      </c>
      <c r="S232" s="27"/>
      <c r="T232" s="25" t="s">
        <v>30</v>
      </c>
      <c r="U232" s="25" t="s">
        <v>343</v>
      </c>
    </row>
    <row r="233" spans="1:21" x14ac:dyDescent="0.2">
      <c r="A233" s="25">
        <v>231</v>
      </c>
      <c r="B233" s="25" t="s">
        <v>141</v>
      </c>
      <c r="C233" s="26">
        <v>45682</v>
      </c>
      <c r="D233" s="25" t="s">
        <v>142</v>
      </c>
      <c r="E233" s="27"/>
      <c r="F233" s="25" t="s">
        <v>344</v>
      </c>
      <c r="G233" s="27"/>
      <c r="H233" s="25" t="s">
        <v>45</v>
      </c>
      <c r="I233" s="25" t="s">
        <v>222</v>
      </c>
      <c r="J233" s="25" t="s">
        <v>146</v>
      </c>
      <c r="K233" s="28"/>
      <c r="L233" s="29"/>
      <c r="M233" s="30">
        <f>IF(N233=0,0,N233/LOOKUP(C233,Settings!$F$5:$F$20,Settings!$G$5:$G$20))</f>
        <v>267.48167999999998</v>
      </c>
      <c r="N233" s="31">
        <v>3343521</v>
      </c>
      <c r="O233" s="32">
        <f t="shared" si="6"/>
        <v>-267.48167999999998</v>
      </c>
      <c r="P233" s="32">
        <f t="shared" si="7"/>
        <v>-3343521</v>
      </c>
      <c r="Q233" s="25" t="s">
        <v>223</v>
      </c>
      <c r="R233" s="25" t="s">
        <v>224</v>
      </c>
      <c r="S233" s="27"/>
      <c r="T233" s="25" t="s">
        <v>30</v>
      </c>
      <c r="U233" s="25" t="s">
        <v>345</v>
      </c>
    </row>
    <row r="234" spans="1:21" x14ac:dyDescent="0.2">
      <c r="A234" s="25">
        <v>232</v>
      </c>
      <c r="B234" s="25" t="s">
        <v>150</v>
      </c>
      <c r="C234" s="26">
        <v>45682</v>
      </c>
      <c r="D234" s="25" t="s">
        <v>151</v>
      </c>
      <c r="E234" s="27"/>
      <c r="F234" s="25" t="s">
        <v>226</v>
      </c>
      <c r="G234" s="27"/>
      <c r="H234" s="25" t="s">
        <v>25</v>
      </c>
      <c r="I234" s="25" t="s">
        <v>222</v>
      </c>
      <c r="J234" s="25" t="s">
        <v>155</v>
      </c>
      <c r="K234" s="28"/>
      <c r="L234" s="29"/>
      <c r="M234" s="30">
        <f>IF(N234=0,0,N234/LOOKUP(C234,Settings!$F$5:$F$20,Settings!$G$5:$G$20))</f>
        <v>1471.7238400000001</v>
      </c>
      <c r="N234" s="31">
        <v>18396548</v>
      </c>
      <c r="O234" s="32">
        <f t="shared" si="6"/>
        <v>-1471.7238400000001</v>
      </c>
      <c r="P234" s="32">
        <f t="shared" si="7"/>
        <v>-18396548</v>
      </c>
      <c r="Q234" s="25" t="s">
        <v>223</v>
      </c>
      <c r="R234" s="25" t="s">
        <v>224</v>
      </c>
      <c r="S234" s="27"/>
      <c r="T234" s="25" t="s">
        <v>30</v>
      </c>
      <c r="U234" s="25" t="s">
        <v>227</v>
      </c>
    </row>
    <row r="235" spans="1:21" x14ac:dyDescent="0.2">
      <c r="A235" s="33">
        <v>233</v>
      </c>
      <c r="B235" s="33" t="s">
        <v>141</v>
      </c>
      <c r="C235" s="34">
        <v>45693</v>
      </c>
      <c r="D235" s="33" t="s">
        <v>142</v>
      </c>
      <c r="E235" s="35"/>
      <c r="F235" s="33" t="s">
        <v>270</v>
      </c>
      <c r="G235" s="35"/>
      <c r="H235" s="33" t="s">
        <v>45</v>
      </c>
      <c r="I235" s="33" t="s">
        <v>222</v>
      </c>
      <c r="J235" s="33" t="s">
        <v>146</v>
      </c>
      <c r="K235" s="36"/>
      <c r="L235" s="37"/>
      <c r="M235" s="38">
        <f>IF(N235=0,0,N235/LOOKUP(C235,Settings!$F$5:$F$20,Settings!$G$5:$G$20))</f>
        <v>11592.045667070708</v>
      </c>
      <c r="N235" s="38">
        <f>'Proekt vaqt va Risk'!T18-(N226+N228+N230+N233)</f>
        <v>144900570.83838385</v>
      </c>
      <c r="O235" s="39">
        <f t="shared" si="6"/>
        <v>-11592.045667070708</v>
      </c>
      <c r="P235" s="39">
        <f t="shared" si="7"/>
        <v>-144900570.83838385</v>
      </c>
      <c r="Q235" s="33" t="s">
        <v>223</v>
      </c>
      <c r="R235" s="33" t="s">
        <v>224</v>
      </c>
      <c r="S235" s="35"/>
      <c r="T235" s="33" t="s">
        <v>30</v>
      </c>
      <c r="U235" s="33" t="s">
        <v>271</v>
      </c>
    </row>
    <row r="236" spans="1:21" x14ac:dyDescent="0.2">
      <c r="A236" s="25">
        <v>234</v>
      </c>
      <c r="B236" s="25" t="s">
        <v>134</v>
      </c>
      <c r="C236" s="26">
        <v>45713</v>
      </c>
      <c r="D236" s="25" t="s">
        <v>135</v>
      </c>
      <c r="E236" s="27"/>
      <c r="F236" s="25" t="s">
        <v>346</v>
      </c>
      <c r="G236" s="27"/>
      <c r="H236" s="25" t="s">
        <v>36</v>
      </c>
      <c r="I236" s="25" t="s">
        <v>222</v>
      </c>
      <c r="J236" s="25" t="s">
        <v>139</v>
      </c>
      <c r="K236" s="28"/>
      <c r="L236" s="29"/>
      <c r="M236" s="30">
        <f>IF(N236=0,0,N236/LOOKUP(C236,Settings!$F$5:$F$20,Settings!$G$5:$G$20))</f>
        <v>643.68535999999995</v>
      </c>
      <c r="N236" s="31">
        <v>8046067</v>
      </c>
      <c r="O236" s="32">
        <f t="shared" si="6"/>
        <v>-643.68535999999995</v>
      </c>
      <c r="P236" s="32">
        <f t="shared" si="7"/>
        <v>-8046067</v>
      </c>
      <c r="Q236" s="25" t="s">
        <v>223</v>
      </c>
      <c r="R236" s="25" t="s">
        <v>224</v>
      </c>
      <c r="S236" s="27"/>
      <c r="T236" s="25" t="s">
        <v>30</v>
      </c>
      <c r="U236" s="25" t="s">
        <v>347</v>
      </c>
    </row>
    <row r="237" spans="1:21" x14ac:dyDescent="0.2">
      <c r="A237" s="25">
        <v>235</v>
      </c>
      <c r="B237" s="25" t="s">
        <v>150</v>
      </c>
      <c r="C237" s="26">
        <v>45713</v>
      </c>
      <c r="D237" s="25" t="s">
        <v>151</v>
      </c>
      <c r="E237" s="27"/>
      <c r="F237" s="25" t="s">
        <v>230</v>
      </c>
      <c r="G237" s="27"/>
      <c r="H237" s="25" t="s">
        <v>25</v>
      </c>
      <c r="I237" s="25" t="s">
        <v>222</v>
      </c>
      <c r="J237" s="25" t="s">
        <v>155</v>
      </c>
      <c r="K237" s="28"/>
      <c r="L237" s="29"/>
      <c r="M237" s="30">
        <f>IF(N237=0,0,N237/LOOKUP(C237,Settings!$F$5:$F$20,Settings!$G$5:$G$20))</f>
        <v>1363.5976800000001</v>
      </c>
      <c r="N237" s="31">
        <v>17044971</v>
      </c>
      <c r="O237" s="32">
        <f t="shared" si="6"/>
        <v>-1363.5976800000001</v>
      </c>
      <c r="P237" s="32">
        <f t="shared" si="7"/>
        <v>-17044971</v>
      </c>
      <c r="Q237" s="25" t="s">
        <v>223</v>
      </c>
      <c r="R237" s="25" t="s">
        <v>224</v>
      </c>
      <c r="S237" s="27"/>
      <c r="T237" s="25" t="s">
        <v>30</v>
      </c>
      <c r="U237" s="25" t="s">
        <v>231</v>
      </c>
    </row>
    <row r="238" spans="1:21" x14ac:dyDescent="0.2">
      <c r="A238" s="25">
        <v>236</v>
      </c>
      <c r="B238" s="25" t="s">
        <v>157</v>
      </c>
      <c r="C238" s="26">
        <v>45713</v>
      </c>
      <c r="D238" s="25" t="s">
        <v>158</v>
      </c>
      <c r="E238" s="27"/>
      <c r="F238" s="25" t="s">
        <v>228</v>
      </c>
      <c r="G238" s="27"/>
      <c r="H238" s="25" t="s">
        <v>36</v>
      </c>
      <c r="I238" s="25" t="s">
        <v>222</v>
      </c>
      <c r="J238" s="25" t="s">
        <v>162</v>
      </c>
      <c r="K238" s="28"/>
      <c r="L238" s="29"/>
      <c r="M238" s="30">
        <f>IF(N238=0,0,N238/LOOKUP(C238,Settings!$F$5:$F$20,Settings!$G$5:$G$20))</f>
        <v>1067.56368</v>
      </c>
      <c r="N238" s="31">
        <v>13344546</v>
      </c>
      <c r="O238" s="32">
        <f t="shared" si="6"/>
        <v>-1067.56368</v>
      </c>
      <c r="P238" s="32">
        <f t="shared" si="7"/>
        <v>-13344546</v>
      </c>
      <c r="Q238" s="25" t="s">
        <v>223</v>
      </c>
      <c r="R238" s="25" t="s">
        <v>224</v>
      </c>
      <c r="S238" s="27"/>
      <c r="T238" s="25" t="s">
        <v>30</v>
      </c>
      <c r="U238" s="25" t="s">
        <v>229</v>
      </c>
    </row>
    <row r="239" spans="1:21" x14ac:dyDescent="0.2">
      <c r="A239" s="33">
        <v>237</v>
      </c>
      <c r="B239" s="33" t="s">
        <v>134</v>
      </c>
      <c r="C239" s="34">
        <v>45721</v>
      </c>
      <c r="D239" s="33" t="s">
        <v>135</v>
      </c>
      <c r="E239" s="35"/>
      <c r="F239" s="33" t="s">
        <v>270</v>
      </c>
      <c r="G239" s="35"/>
      <c r="H239" s="33" t="s">
        <v>36</v>
      </c>
      <c r="I239" s="33" t="s">
        <v>222</v>
      </c>
      <c r="J239" s="33" t="s">
        <v>139</v>
      </c>
      <c r="K239" s="36"/>
      <c r="L239" s="37"/>
      <c r="M239" s="38">
        <f>IF(N239=0,0,N239/LOOKUP(C239,Settings!$F$5:$F$20,Settings!$G$5:$G$20))</f>
        <v>7710.3585066666674</v>
      </c>
      <c r="N239" s="38">
        <f>'Proekt vaqt va Risk'!T17-(N221+N224+N225+N227+N229+N232+N236)</f>
        <v>96379481.333333343</v>
      </c>
      <c r="O239" s="39">
        <f t="shared" si="6"/>
        <v>-7710.3585066666674</v>
      </c>
      <c r="P239" s="39">
        <f t="shared" si="7"/>
        <v>-96379481.333333343</v>
      </c>
      <c r="Q239" s="33" t="s">
        <v>223</v>
      </c>
      <c r="R239" s="33" t="s">
        <v>224</v>
      </c>
      <c r="S239" s="35"/>
      <c r="T239" s="33" t="s">
        <v>30</v>
      </c>
      <c r="U239" s="33" t="s">
        <v>271</v>
      </c>
    </row>
    <row r="240" spans="1:21" x14ac:dyDescent="0.2">
      <c r="A240" s="25">
        <v>238</v>
      </c>
      <c r="B240" s="25" t="s">
        <v>150</v>
      </c>
      <c r="C240" s="26">
        <v>45741</v>
      </c>
      <c r="D240" s="25" t="s">
        <v>151</v>
      </c>
      <c r="E240" s="27"/>
      <c r="F240" s="25" t="s">
        <v>234</v>
      </c>
      <c r="G240" s="27"/>
      <c r="H240" s="25" t="s">
        <v>25</v>
      </c>
      <c r="I240" s="25" t="s">
        <v>222</v>
      </c>
      <c r="J240" s="25" t="s">
        <v>155</v>
      </c>
      <c r="K240" s="28"/>
      <c r="L240" s="29"/>
      <c r="M240" s="30">
        <f>IF(N240=0,0,N240/LOOKUP(C240,Settings!$F$5:$F$20,Settings!$G$5:$G$20))</f>
        <v>1462.6332</v>
      </c>
      <c r="N240" s="31">
        <v>18282915</v>
      </c>
      <c r="O240" s="32">
        <f t="shared" si="6"/>
        <v>-1462.6332</v>
      </c>
      <c r="P240" s="32">
        <f t="shared" si="7"/>
        <v>-18282915</v>
      </c>
      <c r="Q240" s="25" t="s">
        <v>223</v>
      </c>
      <c r="R240" s="25" t="s">
        <v>224</v>
      </c>
      <c r="S240" s="27"/>
      <c r="T240" s="25" t="s">
        <v>30</v>
      </c>
      <c r="U240" s="25" t="s">
        <v>235</v>
      </c>
    </row>
    <row r="241" spans="1:21" x14ac:dyDescent="0.2">
      <c r="A241" s="25">
        <v>239</v>
      </c>
      <c r="B241" s="25" t="s">
        <v>157</v>
      </c>
      <c r="C241" s="26">
        <v>45741</v>
      </c>
      <c r="D241" s="25" t="s">
        <v>158</v>
      </c>
      <c r="E241" s="27"/>
      <c r="F241" s="25" t="s">
        <v>232</v>
      </c>
      <c r="G241" s="27"/>
      <c r="H241" s="25" t="s">
        <v>36</v>
      </c>
      <c r="I241" s="25" t="s">
        <v>222</v>
      </c>
      <c r="J241" s="25" t="s">
        <v>162</v>
      </c>
      <c r="K241" s="28"/>
      <c r="L241" s="29"/>
      <c r="M241" s="30">
        <f>IF(N241=0,0,N241/LOOKUP(C241,Settings!$F$5:$F$20,Settings!$G$5:$G$20))</f>
        <v>2360.3037599999998</v>
      </c>
      <c r="N241" s="31">
        <v>29503797</v>
      </c>
      <c r="O241" s="32">
        <f t="shared" si="6"/>
        <v>-2360.3037599999998</v>
      </c>
      <c r="P241" s="32">
        <f t="shared" si="7"/>
        <v>-29503797</v>
      </c>
      <c r="Q241" s="25" t="s">
        <v>223</v>
      </c>
      <c r="R241" s="25" t="s">
        <v>224</v>
      </c>
      <c r="S241" s="27"/>
      <c r="T241" s="25" t="s">
        <v>30</v>
      </c>
      <c r="U241" s="25" t="s">
        <v>233</v>
      </c>
    </row>
    <row r="242" spans="1:21" x14ac:dyDescent="0.2">
      <c r="A242" s="25">
        <v>240</v>
      </c>
      <c r="B242" s="25" t="s">
        <v>150</v>
      </c>
      <c r="C242" s="26">
        <v>45772</v>
      </c>
      <c r="D242" s="25" t="s">
        <v>151</v>
      </c>
      <c r="E242" s="27"/>
      <c r="F242" s="25" t="s">
        <v>240</v>
      </c>
      <c r="G242" s="27"/>
      <c r="H242" s="25" t="s">
        <v>25</v>
      </c>
      <c r="I242" s="25" t="s">
        <v>222</v>
      </c>
      <c r="J242" s="25" t="s">
        <v>155</v>
      </c>
      <c r="K242" s="28"/>
      <c r="L242" s="29"/>
      <c r="M242" s="30">
        <f>IF(N242=0,0,N242/LOOKUP(C242,Settings!$F$5:$F$20,Settings!$G$5:$G$20))</f>
        <v>2345.6475396825399</v>
      </c>
      <c r="N242" s="31">
        <v>29555159</v>
      </c>
      <c r="O242" s="32">
        <f t="shared" si="6"/>
        <v>-2345.6475396825399</v>
      </c>
      <c r="P242" s="32">
        <f t="shared" si="7"/>
        <v>-29555159</v>
      </c>
      <c r="Q242" s="25" t="s">
        <v>223</v>
      </c>
      <c r="R242" s="25" t="s">
        <v>224</v>
      </c>
      <c r="S242" s="27"/>
      <c r="T242" s="25" t="s">
        <v>30</v>
      </c>
      <c r="U242" s="25" t="s">
        <v>241</v>
      </c>
    </row>
    <row r="243" spans="1:21" x14ac:dyDescent="0.2">
      <c r="A243" s="25">
        <v>241</v>
      </c>
      <c r="B243" s="25" t="s">
        <v>157</v>
      </c>
      <c r="C243" s="26">
        <v>45772</v>
      </c>
      <c r="D243" s="25" t="s">
        <v>158</v>
      </c>
      <c r="E243" s="27"/>
      <c r="F243" s="25" t="s">
        <v>236</v>
      </c>
      <c r="G243" s="27"/>
      <c r="H243" s="25" t="s">
        <v>36</v>
      </c>
      <c r="I243" s="25" t="s">
        <v>222</v>
      </c>
      <c r="J243" s="25" t="s">
        <v>162</v>
      </c>
      <c r="K243" s="28"/>
      <c r="L243" s="29"/>
      <c r="M243" s="30">
        <f>IF(N243=0,0,N243/LOOKUP(C243,Settings!$F$5:$F$20,Settings!$G$5:$G$20))</f>
        <v>2174.2563492063491</v>
      </c>
      <c r="N243" s="31">
        <v>27395630</v>
      </c>
      <c r="O243" s="32">
        <f t="shared" si="6"/>
        <v>-2174.2563492063491</v>
      </c>
      <c r="P243" s="32">
        <f t="shared" si="7"/>
        <v>-27395630</v>
      </c>
      <c r="Q243" s="25" t="s">
        <v>223</v>
      </c>
      <c r="R243" s="25" t="s">
        <v>224</v>
      </c>
      <c r="S243" s="27"/>
      <c r="T243" s="25" t="s">
        <v>30</v>
      </c>
      <c r="U243" s="25" t="s">
        <v>237</v>
      </c>
    </row>
    <row r="244" spans="1:21" x14ac:dyDescent="0.2">
      <c r="A244" s="25">
        <v>242</v>
      </c>
      <c r="B244" s="25" t="s">
        <v>150</v>
      </c>
      <c r="C244" s="26">
        <v>45802</v>
      </c>
      <c r="D244" s="25" t="s">
        <v>151</v>
      </c>
      <c r="E244" s="27"/>
      <c r="F244" s="25" t="s">
        <v>246</v>
      </c>
      <c r="G244" s="27"/>
      <c r="H244" s="25" t="s">
        <v>25</v>
      </c>
      <c r="I244" s="25" t="s">
        <v>222</v>
      </c>
      <c r="J244" s="25" t="s">
        <v>155</v>
      </c>
      <c r="K244" s="28"/>
      <c r="L244" s="29"/>
      <c r="M244" s="30">
        <f>IF(N244=0,0,N244/LOOKUP(C244,Settings!$F$5:$F$20,Settings!$G$5:$G$20))</f>
        <v>2958.609365079365</v>
      </c>
      <c r="N244" s="31">
        <v>37278478</v>
      </c>
      <c r="O244" s="32">
        <f t="shared" si="6"/>
        <v>-2958.609365079365</v>
      </c>
      <c r="P244" s="32">
        <f t="shared" si="7"/>
        <v>-37278478</v>
      </c>
      <c r="Q244" s="25" t="s">
        <v>223</v>
      </c>
      <c r="R244" s="25" t="s">
        <v>224</v>
      </c>
      <c r="S244" s="27"/>
      <c r="T244" s="25" t="s">
        <v>30</v>
      </c>
      <c r="U244" s="25" t="s">
        <v>247</v>
      </c>
    </row>
    <row r="245" spans="1:21" x14ac:dyDescent="0.2">
      <c r="A245" s="25">
        <v>243</v>
      </c>
      <c r="B245" s="25" t="s">
        <v>157</v>
      </c>
      <c r="C245" s="26">
        <v>45802</v>
      </c>
      <c r="D245" s="25" t="s">
        <v>158</v>
      </c>
      <c r="E245" s="27"/>
      <c r="F245" s="25" t="s">
        <v>242</v>
      </c>
      <c r="G245" s="27"/>
      <c r="H245" s="25" t="s">
        <v>36</v>
      </c>
      <c r="I245" s="25" t="s">
        <v>222</v>
      </c>
      <c r="J245" s="25" t="s">
        <v>162</v>
      </c>
      <c r="K245" s="28"/>
      <c r="L245" s="29"/>
      <c r="M245" s="30">
        <f>IF(N245=0,0,N245/LOOKUP(C245,Settings!$F$5:$F$20,Settings!$G$5:$G$20))</f>
        <v>1949.6635714285715</v>
      </c>
      <c r="N245" s="31">
        <v>24565761</v>
      </c>
      <c r="O245" s="32">
        <f t="shared" si="6"/>
        <v>-1949.6635714285715</v>
      </c>
      <c r="P245" s="32">
        <f t="shared" si="7"/>
        <v>-24565761</v>
      </c>
      <c r="Q245" s="25" t="s">
        <v>223</v>
      </c>
      <c r="R245" s="25" t="s">
        <v>224</v>
      </c>
      <c r="S245" s="27"/>
      <c r="T245" s="25" t="s">
        <v>30</v>
      </c>
      <c r="U245" s="25" t="s">
        <v>243</v>
      </c>
    </row>
    <row r="246" spans="1:21" x14ac:dyDescent="0.2">
      <c r="A246" s="25">
        <v>244</v>
      </c>
      <c r="B246" s="25" t="s">
        <v>167</v>
      </c>
      <c r="C246" s="26">
        <v>45802</v>
      </c>
      <c r="D246" s="25" t="s">
        <v>168</v>
      </c>
      <c r="E246" s="27"/>
      <c r="F246" s="25" t="s">
        <v>221</v>
      </c>
      <c r="G246" s="27"/>
      <c r="H246" s="25" t="s">
        <v>72</v>
      </c>
      <c r="I246" s="25" t="s">
        <v>222</v>
      </c>
      <c r="J246" s="25" t="s">
        <v>172</v>
      </c>
      <c r="K246" s="28"/>
      <c r="L246" s="29"/>
      <c r="M246" s="30">
        <f>IF(N246=0,0,N246/LOOKUP(C246,Settings!$F$5:$F$20,Settings!$G$5:$G$20))</f>
        <v>1145.3712698412699</v>
      </c>
      <c r="N246" s="31">
        <v>14431678</v>
      </c>
      <c r="O246" s="32">
        <f t="shared" si="6"/>
        <v>-1145.3712698412699</v>
      </c>
      <c r="P246" s="32">
        <f t="shared" si="7"/>
        <v>-14431678</v>
      </c>
      <c r="Q246" s="25" t="s">
        <v>223</v>
      </c>
      <c r="R246" s="25" t="s">
        <v>224</v>
      </c>
      <c r="S246" s="27"/>
      <c r="T246" s="25" t="s">
        <v>30</v>
      </c>
      <c r="U246" s="25" t="s">
        <v>225</v>
      </c>
    </row>
    <row r="247" spans="1:21" x14ac:dyDescent="0.2">
      <c r="A247" s="25">
        <v>245</v>
      </c>
      <c r="B247" s="25" t="s">
        <v>150</v>
      </c>
      <c r="C247" s="26">
        <v>45833</v>
      </c>
      <c r="D247" s="25" t="s">
        <v>151</v>
      </c>
      <c r="E247" s="27"/>
      <c r="F247" s="25" t="s">
        <v>254</v>
      </c>
      <c r="G247" s="27"/>
      <c r="H247" s="25" t="s">
        <v>25</v>
      </c>
      <c r="I247" s="25" t="s">
        <v>222</v>
      </c>
      <c r="J247" s="25" t="s">
        <v>155</v>
      </c>
      <c r="K247" s="28"/>
      <c r="L247" s="29"/>
      <c r="M247" s="30">
        <f>IF(N247=0,0,N247/LOOKUP(C247,Settings!$F$5:$F$20,Settings!$G$5:$G$20))</f>
        <v>1528.2620634920636</v>
      </c>
      <c r="N247" s="31">
        <v>19256102</v>
      </c>
      <c r="O247" s="32">
        <f t="shared" si="6"/>
        <v>-1528.2620634920636</v>
      </c>
      <c r="P247" s="32">
        <f t="shared" si="7"/>
        <v>-19256102</v>
      </c>
      <c r="Q247" s="25" t="s">
        <v>223</v>
      </c>
      <c r="R247" s="25" t="s">
        <v>224</v>
      </c>
      <c r="S247" s="27"/>
      <c r="T247" s="25" t="s">
        <v>30</v>
      </c>
      <c r="U247" s="25" t="s">
        <v>255</v>
      </c>
    </row>
    <row r="248" spans="1:21" x14ac:dyDescent="0.2">
      <c r="A248" s="25">
        <v>246</v>
      </c>
      <c r="B248" s="25" t="s">
        <v>157</v>
      </c>
      <c r="C248" s="26">
        <v>45833</v>
      </c>
      <c r="D248" s="25" t="s">
        <v>158</v>
      </c>
      <c r="E248" s="27"/>
      <c r="F248" s="25" t="s">
        <v>248</v>
      </c>
      <c r="G248" s="27"/>
      <c r="H248" s="25" t="s">
        <v>36</v>
      </c>
      <c r="I248" s="25" t="s">
        <v>222</v>
      </c>
      <c r="J248" s="25" t="s">
        <v>162</v>
      </c>
      <c r="K248" s="28"/>
      <c r="L248" s="29"/>
      <c r="M248" s="30">
        <f>IF(N248=0,0,N248/LOOKUP(C248,Settings!$F$5:$F$20,Settings!$G$5:$G$20))</f>
        <v>2234.3777777777777</v>
      </c>
      <c r="N248" s="31">
        <v>28153160</v>
      </c>
      <c r="O248" s="32">
        <f t="shared" si="6"/>
        <v>-2234.3777777777777</v>
      </c>
      <c r="P248" s="32">
        <f t="shared" si="7"/>
        <v>-28153160</v>
      </c>
      <c r="Q248" s="25" t="s">
        <v>223</v>
      </c>
      <c r="R248" s="25" t="s">
        <v>224</v>
      </c>
      <c r="S248" s="27"/>
      <c r="T248" s="25" t="s">
        <v>30</v>
      </c>
      <c r="U248" s="25" t="s">
        <v>249</v>
      </c>
    </row>
    <row r="249" spans="1:21" x14ac:dyDescent="0.2">
      <c r="A249" s="25">
        <v>247</v>
      </c>
      <c r="B249" s="25" t="s">
        <v>167</v>
      </c>
      <c r="C249" s="26">
        <v>45833</v>
      </c>
      <c r="D249" s="25" t="s">
        <v>168</v>
      </c>
      <c r="E249" s="27"/>
      <c r="F249" s="25" t="s">
        <v>226</v>
      </c>
      <c r="G249" s="27"/>
      <c r="H249" s="25" t="s">
        <v>72</v>
      </c>
      <c r="I249" s="25" t="s">
        <v>222</v>
      </c>
      <c r="J249" s="25" t="s">
        <v>172</v>
      </c>
      <c r="K249" s="28"/>
      <c r="L249" s="29"/>
      <c r="M249" s="30">
        <f>IF(N249=0,0,N249/LOOKUP(C249,Settings!$F$5:$F$20,Settings!$G$5:$G$20))</f>
        <v>1592.4937301587302</v>
      </c>
      <c r="N249" s="31">
        <v>20065421</v>
      </c>
      <c r="O249" s="32">
        <f t="shared" si="6"/>
        <v>-1592.4937301587302</v>
      </c>
      <c r="P249" s="32">
        <f t="shared" si="7"/>
        <v>-20065421</v>
      </c>
      <c r="Q249" s="25" t="s">
        <v>223</v>
      </c>
      <c r="R249" s="25" t="s">
        <v>224</v>
      </c>
      <c r="S249" s="27"/>
      <c r="T249" s="25" t="s">
        <v>30</v>
      </c>
      <c r="U249" s="25" t="s">
        <v>227</v>
      </c>
    </row>
    <row r="250" spans="1:21" x14ac:dyDescent="0.2">
      <c r="A250" s="25">
        <v>248</v>
      </c>
      <c r="B250" s="25" t="s">
        <v>150</v>
      </c>
      <c r="C250" s="26">
        <v>45863</v>
      </c>
      <c r="D250" s="25" t="s">
        <v>151</v>
      </c>
      <c r="E250" s="27"/>
      <c r="F250" s="25" t="s">
        <v>262</v>
      </c>
      <c r="G250" s="27"/>
      <c r="H250" s="25" t="s">
        <v>25</v>
      </c>
      <c r="I250" s="25" t="s">
        <v>222</v>
      </c>
      <c r="J250" s="25" t="s">
        <v>155</v>
      </c>
      <c r="K250" s="28"/>
      <c r="L250" s="29"/>
      <c r="M250" s="30">
        <f>IF(N250=0,0,N250/LOOKUP(C250,Settings!$F$5:$F$20,Settings!$G$5:$G$20))</f>
        <v>1479.0784251968505</v>
      </c>
      <c r="N250" s="31">
        <v>18784296</v>
      </c>
      <c r="O250" s="32">
        <f t="shared" si="6"/>
        <v>-1479.0784251968505</v>
      </c>
      <c r="P250" s="32">
        <f t="shared" si="7"/>
        <v>-18784296</v>
      </c>
      <c r="Q250" s="25" t="s">
        <v>223</v>
      </c>
      <c r="R250" s="25" t="s">
        <v>224</v>
      </c>
      <c r="S250" s="27"/>
      <c r="T250" s="25" t="s">
        <v>30</v>
      </c>
      <c r="U250" s="25" t="s">
        <v>263</v>
      </c>
    </row>
    <row r="251" spans="1:21" x14ac:dyDescent="0.2">
      <c r="A251" s="25">
        <v>249</v>
      </c>
      <c r="B251" s="25" t="s">
        <v>157</v>
      </c>
      <c r="C251" s="26">
        <v>45863</v>
      </c>
      <c r="D251" s="25" t="s">
        <v>158</v>
      </c>
      <c r="E251" s="27"/>
      <c r="F251" s="25" t="s">
        <v>256</v>
      </c>
      <c r="G251" s="27"/>
      <c r="H251" s="25" t="s">
        <v>36</v>
      </c>
      <c r="I251" s="25" t="s">
        <v>222</v>
      </c>
      <c r="J251" s="25" t="s">
        <v>162</v>
      </c>
      <c r="K251" s="28"/>
      <c r="L251" s="29"/>
      <c r="M251" s="30">
        <f>IF(N251=0,0,N251/LOOKUP(C251,Settings!$F$5:$F$20,Settings!$G$5:$G$20))</f>
        <v>3340.6611023622049</v>
      </c>
      <c r="N251" s="31">
        <v>42426396</v>
      </c>
      <c r="O251" s="32">
        <f t="shared" si="6"/>
        <v>-3340.6611023622049</v>
      </c>
      <c r="P251" s="32">
        <f t="shared" si="7"/>
        <v>-42426396</v>
      </c>
      <c r="Q251" s="25" t="s">
        <v>223</v>
      </c>
      <c r="R251" s="25" t="s">
        <v>224</v>
      </c>
      <c r="S251" s="27"/>
      <c r="T251" s="25" t="s">
        <v>30</v>
      </c>
      <c r="U251" s="25" t="s">
        <v>257</v>
      </c>
    </row>
    <row r="252" spans="1:21" x14ac:dyDescent="0.2">
      <c r="A252" s="25">
        <v>250</v>
      </c>
      <c r="B252" s="25" t="s">
        <v>167</v>
      </c>
      <c r="C252" s="26">
        <v>45863</v>
      </c>
      <c r="D252" s="25" t="s">
        <v>168</v>
      </c>
      <c r="E252" s="27"/>
      <c r="F252" s="25" t="s">
        <v>230</v>
      </c>
      <c r="G252" s="27"/>
      <c r="H252" s="25" t="s">
        <v>72</v>
      </c>
      <c r="I252" s="25" t="s">
        <v>222</v>
      </c>
      <c r="J252" s="25" t="s">
        <v>172</v>
      </c>
      <c r="K252" s="28"/>
      <c r="L252" s="29"/>
      <c r="M252" s="30">
        <f>IF(N252=0,0,N252/LOOKUP(C252,Settings!$F$5:$F$20,Settings!$G$5:$G$20))</f>
        <v>1775.5239370078741</v>
      </c>
      <c r="N252" s="31">
        <v>22549154</v>
      </c>
      <c r="O252" s="32">
        <f t="shared" si="6"/>
        <v>-1775.5239370078741</v>
      </c>
      <c r="P252" s="32">
        <f t="shared" si="7"/>
        <v>-22549154</v>
      </c>
      <c r="Q252" s="25" t="s">
        <v>223</v>
      </c>
      <c r="R252" s="25" t="s">
        <v>224</v>
      </c>
      <c r="S252" s="27"/>
      <c r="T252" s="25" t="s">
        <v>30</v>
      </c>
      <c r="U252" s="25" t="s">
        <v>231</v>
      </c>
    </row>
    <row r="253" spans="1:21" x14ac:dyDescent="0.2">
      <c r="A253" s="33">
        <v>251</v>
      </c>
      <c r="B253" s="33" t="s">
        <v>150</v>
      </c>
      <c r="C253" s="34">
        <v>45874</v>
      </c>
      <c r="D253" s="33" t="s">
        <v>151</v>
      </c>
      <c r="E253" s="35"/>
      <c r="F253" s="33" t="s">
        <v>270</v>
      </c>
      <c r="G253" s="35"/>
      <c r="H253" s="33" t="s">
        <v>25</v>
      </c>
      <c r="I253" s="33" t="s">
        <v>222</v>
      </c>
      <c r="J253" s="33" t="s">
        <v>155</v>
      </c>
      <c r="K253" s="36"/>
      <c r="L253" s="37"/>
      <c r="M253" s="38">
        <f>IF(N253=0,0,N253/LOOKUP(C253,Settings!$F$5:$F$20,Settings!$G$5:$G$20))</f>
        <v>1276.790197248074</v>
      </c>
      <c r="N253" s="38">
        <f>'Proekt vaqt va Risk'!T19-(N231+N234+N237+N240+N242+N244+N247+N250)</f>
        <v>16215235.50505054</v>
      </c>
      <c r="O253" s="39">
        <f t="shared" si="6"/>
        <v>-1276.790197248074</v>
      </c>
      <c r="P253" s="39">
        <f t="shared" si="7"/>
        <v>-16215235.50505054</v>
      </c>
      <c r="Q253" s="33" t="s">
        <v>223</v>
      </c>
      <c r="R253" s="33" t="s">
        <v>224</v>
      </c>
      <c r="S253" s="35"/>
      <c r="T253" s="33" t="s">
        <v>30</v>
      </c>
      <c r="U253" s="33" t="s">
        <v>271</v>
      </c>
    </row>
    <row r="254" spans="1:21" x14ac:dyDescent="0.2">
      <c r="A254" s="25">
        <v>252</v>
      </c>
      <c r="B254" s="25" t="s">
        <v>157</v>
      </c>
      <c r="C254" s="26">
        <v>45894</v>
      </c>
      <c r="D254" s="25" t="s">
        <v>158</v>
      </c>
      <c r="E254" s="27"/>
      <c r="F254" s="25" t="s">
        <v>264</v>
      </c>
      <c r="G254" s="27"/>
      <c r="H254" s="25" t="s">
        <v>36</v>
      </c>
      <c r="I254" s="25" t="s">
        <v>222</v>
      </c>
      <c r="J254" s="25" t="s">
        <v>162</v>
      </c>
      <c r="K254" s="28"/>
      <c r="L254" s="29"/>
      <c r="M254" s="30">
        <f>IF(N254=0,0,N254/LOOKUP(C254,Settings!$F$5:$F$20,Settings!$G$5:$G$20))</f>
        <v>2995.8781889763782</v>
      </c>
      <c r="N254" s="31">
        <v>38047653</v>
      </c>
      <c r="O254" s="32">
        <f t="shared" si="6"/>
        <v>-2995.8781889763782</v>
      </c>
      <c r="P254" s="32">
        <f t="shared" si="7"/>
        <v>-38047653</v>
      </c>
      <c r="Q254" s="25" t="s">
        <v>223</v>
      </c>
      <c r="R254" s="25" t="s">
        <v>224</v>
      </c>
      <c r="S254" s="27"/>
      <c r="T254" s="25" t="s">
        <v>30</v>
      </c>
      <c r="U254" s="25" t="s">
        <v>265</v>
      </c>
    </row>
    <row r="255" spans="1:21" x14ac:dyDescent="0.2">
      <c r="A255" s="25">
        <v>253</v>
      </c>
      <c r="B255" s="25" t="s">
        <v>167</v>
      </c>
      <c r="C255" s="26">
        <v>45894</v>
      </c>
      <c r="D255" s="25" t="s">
        <v>168</v>
      </c>
      <c r="E255" s="27"/>
      <c r="F255" s="25" t="s">
        <v>234</v>
      </c>
      <c r="G255" s="27"/>
      <c r="H255" s="25" t="s">
        <v>72</v>
      </c>
      <c r="I255" s="25" t="s">
        <v>222</v>
      </c>
      <c r="J255" s="25" t="s">
        <v>172</v>
      </c>
      <c r="K255" s="28"/>
      <c r="L255" s="29"/>
      <c r="M255" s="30">
        <f>IF(N255=0,0,N255/LOOKUP(C255,Settings!$F$5:$F$20,Settings!$G$5:$G$20))</f>
        <v>1370.4412598425197</v>
      </c>
      <c r="N255" s="31">
        <v>17404604</v>
      </c>
      <c r="O255" s="32">
        <f t="shared" si="6"/>
        <v>-1370.4412598425197</v>
      </c>
      <c r="P255" s="32">
        <f t="shared" si="7"/>
        <v>-17404604</v>
      </c>
      <c r="Q255" s="25" t="s">
        <v>223</v>
      </c>
      <c r="R255" s="25" t="s">
        <v>224</v>
      </c>
      <c r="S255" s="27"/>
      <c r="T255" s="25" t="s">
        <v>30</v>
      </c>
      <c r="U255" s="25" t="s">
        <v>235</v>
      </c>
    </row>
    <row r="256" spans="1:21" x14ac:dyDescent="0.2">
      <c r="A256" s="25">
        <v>254</v>
      </c>
      <c r="B256" s="25" t="s">
        <v>175</v>
      </c>
      <c r="C256" s="26">
        <v>45894</v>
      </c>
      <c r="D256" s="25" t="s">
        <v>176</v>
      </c>
      <c r="E256" s="27"/>
      <c r="F256" s="25" t="s">
        <v>238</v>
      </c>
      <c r="G256" s="27"/>
      <c r="H256" s="25" t="s">
        <v>45</v>
      </c>
      <c r="I256" s="25" t="s">
        <v>222</v>
      </c>
      <c r="J256" s="25" t="s">
        <v>180</v>
      </c>
      <c r="K256" s="28"/>
      <c r="L256" s="29"/>
      <c r="M256" s="30">
        <f>IF(N256=0,0,N256/LOOKUP(C256,Settings!$F$5:$F$20,Settings!$G$5:$G$20))</f>
        <v>502.48984251968506</v>
      </c>
      <c r="N256" s="31">
        <v>6381621</v>
      </c>
      <c r="O256" s="32">
        <f t="shared" si="6"/>
        <v>-502.48984251968506</v>
      </c>
      <c r="P256" s="32">
        <f t="shared" si="7"/>
        <v>-6381621</v>
      </c>
      <c r="Q256" s="25" t="s">
        <v>223</v>
      </c>
      <c r="R256" s="25" t="s">
        <v>224</v>
      </c>
      <c r="S256" s="27"/>
      <c r="T256" s="25" t="s">
        <v>30</v>
      </c>
      <c r="U256" s="25" t="s">
        <v>239</v>
      </c>
    </row>
    <row r="257" spans="1:21" x14ac:dyDescent="0.2">
      <c r="A257" s="25">
        <v>255</v>
      </c>
      <c r="B257" s="25" t="s">
        <v>157</v>
      </c>
      <c r="C257" s="26">
        <v>45925</v>
      </c>
      <c r="D257" s="25" t="s">
        <v>158</v>
      </c>
      <c r="E257" s="27"/>
      <c r="F257" s="25" t="s">
        <v>272</v>
      </c>
      <c r="G257" s="27"/>
      <c r="H257" s="25" t="s">
        <v>36</v>
      </c>
      <c r="I257" s="25" t="s">
        <v>222</v>
      </c>
      <c r="J257" s="25" t="s">
        <v>162</v>
      </c>
      <c r="K257" s="28"/>
      <c r="L257" s="29"/>
      <c r="M257" s="30">
        <f>IF(N257=0,0,N257/LOOKUP(C257,Settings!$F$5:$F$20,Settings!$G$5:$G$20))</f>
        <v>1329.6268503937008</v>
      </c>
      <c r="N257" s="31">
        <v>16886261</v>
      </c>
      <c r="O257" s="32">
        <f t="shared" si="6"/>
        <v>-1329.6268503937008</v>
      </c>
      <c r="P257" s="32">
        <f t="shared" si="7"/>
        <v>-16886261</v>
      </c>
      <c r="Q257" s="25" t="s">
        <v>223</v>
      </c>
      <c r="R257" s="25" t="s">
        <v>224</v>
      </c>
      <c r="S257" s="27"/>
      <c r="T257" s="25" t="s">
        <v>30</v>
      </c>
      <c r="U257" s="25" t="s">
        <v>273</v>
      </c>
    </row>
    <row r="258" spans="1:21" x14ac:dyDescent="0.2">
      <c r="A258" s="25">
        <v>256</v>
      </c>
      <c r="B258" s="25" t="s">
        <v>167</v>
      </c>
      <c r="C258" s="26">
        <v>45925</v>
      </c>
      <c r="D258" s="25" t="s">
        <v>168</v>
      </c>
      <c r="E258" s="27"/>
      <c r="F258" s="25" t="s">
        <v>240</v>
      </c>
      <c r="G258" s="27"/>
      <c r="H258" s="25" t="s">
        <v>72</v>
      </c>
      <c r="I258" s="25" t="s">
        <v>222</v>
      </c>
      <c r="J258" s="25" t="s">
        <v>172</v>
      </c>
      <c r="K258" s="28"/>
      <c r="L258" s="29"/>
      <c r="M258" s="30">
        <f>IF(N258=0,0,N258/LOOKUP(C258,Settings!$F$5:$F$20,Settings!$G$5:$G$20))</f>
        <v>2338.0659842519685</v>
      </c>
      <c r="N258" s="31">
        <v>29693438</v>
      </c>
      <c r="O258" s="32">
        <f t="shared" si="6"/>
        <v>-2338.0659842519685</v>
      </c>
      <c r="P258" s="32">
        <f t="shared" si="7"/>
        <v>-29693438</v>
      </c>
      <c r="Q258" s="25" t="s">
        <v>223</v>
      </c>
      <c r="R258" s="25" t="s">
        <v>224</v>
      </c>
      <c r="S258" s="27"/>
      <c r="T258" s="25" t="s">
        <v>30</v>
      </c>
      <c r="U258" s="25" t="s">
        <v>241</v>
      </c>
    </row>
    <row r="259" spans="1:21" x14ac:dyDescent="0.2">
      <c r="A259" s="25">
        <v>257</v>
      </c>
      <c r="B259" s="25" t="s">
        <v>175</v>
      </c>
      <c r="C259" s="26">
        <v>45925</v>
      </c>
      <c r="D259" s="25" t="s">
        <v>176</v>
      </c>
      <c r="E259" s="27"/>
      <c r="F259" s="25" t="s">
        <v>244</v>
      </c>
      <c r="G259" s="27"/>
      <c r="H259" s="25" t="s">
        <v>45</v>
      </c>
      <c r="I259" s="25" t="s">
        <v>222</v>
      </c>
      <c r="J259" s="25" t="s">
        <v>180</v>
      </c>
      <c r="K259" s="28"/>
      <c r="L259" s="29"/>
      <c r="M259" s="30">
        <f>IF(N259=0,0,N259/LOOKUP(C259,Settings!$F$5:$F$20,Settings!$G$5:$G$20))</f>
        <v>892.41236220472445</v>
      </c>
      <c r="N259" s="31">
        <v>11333637</v>
      </c>
      <c r="O259" s="32">
        <f t="shared" ref="O259:O304" si="8">K259-M259</f>
        <v>-892.41236220472445</v>
      </c>
      <c r="P259" s="32">
        <f t="shared" ref="P259:P304" si="9">L259-N259</f>
        <v>-11333637</v>
      </c>
      <c r="Q259" s="25" t="s">
        <v>223</v>
      </c>
      <c r="R259" s="25" t="s">
        <v>224</v>
      </c>
      <c r="S259" s="27"/>
      <c r="T259" s="25" t="s">
        <v>30</v>
      </c>
      <c r="U259" s="25" t="s">
        <v>245</v>
      </c>
    </row>
    <row r="260" spans="1:21" x14ac:dyDescent="0.2">
      <c r="A260" s="25">
        <v>258</v>
      </c>
      <c r="B260" s="25" t="s">
        <v>157</v>
      </c>
      <c r="C260" s="26">
        <v>45955</v>
      </c>
      <c r="D260" s="25" t="s">
        <v>158</v>
      </c>
      <c r="E260" s="27"/>
      <c r="F260" s="25" t="s">
        <v>278</v>
      </c>
      <c r="G260" s="27"/>
      <c r="H260" s="25" t="s">
        <v>36</v>
      </c>
      <c r="I260" s="25" t="s">
        <v>222</v>
      </c>
      <c r="J260" s="25" t="s">
        <v>162</v>
      </c>
      <c r="K260" s="28"/>
      <c r="L260" s="29"/>
      <c r="M260" s="30">
        <f>IF(N260=0,0,N260/LOOKUP(C260,Settings!$F$5:$F$20,Settings!$G$5:$G$20))</f>
        <v>3711.11234375</v>
      </c>
      <c r="N260" s="31">
        <v>47502238</v>
      </c>
      <c r="O260" s="32">
        <f t="shared" si="8"/>
        <v>-3711.11234375</v>
      </c>
      <c r="P260" s="32">
        <f t="shared" si="9"/>
        <v>-47502238</v>
      </c>
      <c r="Q260" s="25" t="s">
        <v>223</v>
      </c>
      <c r="R260" s="25" t="s">
        <v>224</v>
      </c>
      <c r="S260" s="27"/>
      <c r="T260" s="25" t="s">
        <v>30</v>
      </c>
      <c r="U260" s="25" t="s">
        <v>279</v>
      </c>
    </row>
    <row r="261" spans="1:21" x14ac:dyDescent="0.2">
      <c r="A261" s="25">
        <v>259</v>
      </c>
      <c r="B261" s="25" t="s">
        <v>167</v>
      </c>
      <c r="C261" s="26">
        <v>45955</v>
      </c>
      <c r="D261" s="25" t="s">
        <v>168</v>
      </c>
      <c r="E261" s="27"/>
      <c r="F261" s="25" t="s">
        <v>246</v>
      </c>
      <c r="G261" s="27"/>
      <c r="H261" s="25" t="s">
        <v>72</v>
      </c>
      <c r="I261" s="25" t="s">
        <v>222</v>
      </c>
      <c r="J261" s="25" t="s">
        <v>172</v>
      </c>
      <c r="K261" s="28"/>
      <c r="L261" s="29"/>
      <c r="M261" s="30">
        <f>IF(N261=0,0,N261/LOOKUP(C261,Settings!$F$5:$F$20,Settings!$G$5:$G$20))</f>
        <v>1752.553515625</v>
      </c>
      <c r="N261" s="31">
        <v>22432685</v>
      </c>
      <c r="O261" s="32">
        <f t="shared" si="8"/>
        <v>-1752.553515625</v>
      </c>
      <c r="P261" s="32">
        <f t="shared" si="9"/>
        <v>-22432685</v>
      </c>
      <c r="Q261" s="25" t="s">
        <v>223</v>
      </c>
      <c r="R261" s="25" t="s">
        <v>224</v>
      </c>
      <c r="S261" s="27"/>
      <c r="T261" s="25" t="s">
        <v>30</v>
      </c>
      <c r="U261" s="25" t="s">
        <v>247</v>
      </c>
    </row>
    <row r="262" spans="1:21" x14ac:dyDescent="0.2">
      <c r="A262" s="25">
        <v>260</v>
      </c>
      <c r="B262" s="25" t="s">
        <v>175</v>
      </c>
      <c r="C262" s="26">
        <v>45955</v>
      </c>
      <c r="D262" s="25" t="s">
        <v>176</v>
      </c>
      <c r="E262" s="27"/>
      <c r="F262" s="25" t="s">
        <v>250</v>
      </c>
      <c r="G262" s="27"/>
      <c r="H262" s="25" t="s">
        <v>45</v>
      </c>
      <c r="I262" s="25" t="s">
        <v>222</v>
      </c>
      <c r="J262" s="25" t="s">
        <v>180</v>
      </c>
      <c r="K262" s="28"/>
      <c r="L262" s="29"/>
      <c r="M262" s="30">
        <f>IF(N262=0,0,N262/LOOKUP(C262,Settings!$F$5:$F$20,Settings!$G$5:$G$20))</f>
        <v>1508.635234375</v>
      </c>
      <c r="N262" s="31">
        <v>19310531</v>
      </c>
      <c r="O262" s="32">
        <f t="shared" si="8"/>
        <v>-1508.635234375</v>
      </c>
      <c r="P262" s="32">
        <f t="shared" si="9"/>
        <v>-19310531</v>
      </c>
      <c r="Q262" s="25" t="s">
        <v>223</v>
      </c>
      <c r="R262" s="25" t="s">
        <v>224</v>
      </c>
      <c r="S262" s="27"/>
      <c r="T262" s="25" t="s">
        <v>30</v>
      </c>
      <c r="U262" s="25" t="s">
        <v>251</v>
      </c>
    </row>
    <row r="263" spans="1:21" x14ac:dyDescent="0.2">
      <c r="A263" s="25">
        <v>261</v>
      </c>
      <c r="B263" s="25" t="s">
        <v>157</v>
      </c>
      <c r="C263" s="26">
        <v>45986</v>
      </c>
      <c r="D263" s="25" t="s">
        <v>158</v>
      </c>
      <c r="E263" s="27"/>
      <c r="F263" s="25" t="s">
        <v>284</v>
      </c>
      <c r="G263" s="27"/>
      <c r="H263" s="25" t="s">
        <v>36</v>
      </c>
      <c r="I263" s="25" t="s">
        <v>222</v>
      </c>
      <c r="J263" s="25" t="s">
        <v>162</v>
      </c>
      <c r="K263" s="28"/>
      <c r="L263" s="29"/>
      <c r="M263" s="30">
        <f>IF(N263=0,0,N263/LOOKUP(C263,Settings!$F$5:$F$20,Settings!$G$5:$G$20))</f>
        <v>1598.5842968750001</v>
      </c>
      <c r="N263" s="31">
        <v>20461879</v>
      </c>
      <c r="O263" s="32">
        <f t="shared" si="8"/>
        <v>-1598.5842968750001</v>
      </c>
      <c r="P263" s="32">
        <f t="shared" si="9"/>
        <v>-20461879</v>
      </c>
      <c r="Q263" s="25" t="s">
        <v>223</v>
      </c>
      <c r="R263" s="25" t="s">
        <v>224</v>
      </c>
      <c r="S263" s="27"/>
      <c r="T263" s="25" t="s">
        <v>30</v>
      </c>
      <c r="U263" s="25" t="s">
        <v>285</v>
      </c>
    </row>
    <row r="264" spans="1:21" x14ac:dyDescent="0.2">
      <c r="A264" s="25">
        <v>262</v>
      </c>
      <c r="B264" s="25" t="s">
        <v>167</v>
      </c>
      <c r="C264" s="26">
        <v>45986</v>
      </c>
      <c r="D264" s="25" t="s">
        <v>168</v>
      </c>
      <c r="E264" s="27"/>
      <c r="F264" s="25" t="s">
        <v>254</v>
      </c>
      <c r="G264" s="27"/>
      <c r="H264" s="25" t="s">
        <v>72</v>
      </c>
      <c r="I264" s="25" t="s">
        <v>222</v>
      </c>
      <c r="J264" s="25" t="s">
        <v>172</v>
      </c>
      <c r="K264" s="28"/>
      <c r="L264" s="29"/>
      <c r="M264" s="30">
        <f>IF(N264=0,0,N264/LOOKUP(C264,Settings!$F$5:$F$20,Settings!$G$5:$G$20))</f>
        <v>1147.493203125</v>
      </c>
      <c r="N264" s="31">
        <v>14687913</v>
      </c>
      <c r="O264" s="32">
        <f t="shared" si="8"/>
        <v>-1147.493203125</v>
      </c>
      <c r="P264" s="32">
        <f t="shared" si="9"/>
        <v>-14687913</v>
      </c>
      <c r="Q264" s="25" t="s">
        <v>223</v>
      </c>
      <c r="R264" s="25" t="s">
        <v>224</v>
      </c>
      <c r="S264" s="27"/>
      <c r="T264" s="25" t="s">
        <v>30</v>
      </c>
      <c r="U264" s="25" t="s">
        <v>255</v>
      </c>
    </row>
    <row r="265" spans="1:21" x14ac:dyDescent="0.2">
      <c r="A265" s="25">
        <v>263</v>
      </c>
      <c r="B265" s="25" t="s">
        <v>175</v>
      </c>
      <c r="C265" s="26">
        <v>45986</v>
      </c>
      <c r="D265" s="25" t="s">
        <v>176</v>
      </c>
      <c r="E265" s="27"/>
      <c r="F265" s="25" t="s">
        <v>258</v>
      </c>
      <c r="G265" s="27"/>
      <c r="H265" s="25" t="s">
        <v>45</v>
      </c>
      <c r="I265" s="25" t="s">
        <v>222</v>
      </c>
      <c r="J265" s="25" t="s">
        <v>180</v>
      </c>
      <c r="K265" s="28"/>
      <c r="L265" s="29"/>
      <c r="M265" s="30">
        <f>IF(N265=0,0,N265/LOOKUP(C265,Settings!$F$5:$F$20,Settings!$G$5:$G$20))</f>
        <v>968.54226562500003</v>
      </c>
      <c r="N265" s="31">
        <v>12397341</v>
      </c>
      <c r="O265" s="32">
        <f t="shared" si="8"/>
        <v>-968.54226562500003</v>
      </c>
      <c r="P265" s="32">
        <f t="shared" si="9"/>
        <v>-12397341</v>
      </c>
      <c r="Q265" s="25" t="s">
        <v>223</v>
      </c>
      <c r="R265" s="25" t="s">
        <v>224</v>
      </c>
      <c r="S265" s="27"/>
      <c r="T265" s="25" t="s">
        <v>30</v>
      </c>
      <c r="U265" s="25" t="s">
        <v>259</v>
      </c>
    </row>
    <row r="266" spans="1:21" x14ac:dyDescent="0.2">
      <c r="A266" s="25">
        <v>264</v>
      </c>
      <c r="B266" s="25" t="s">
        <v>182</v>
      </c>
      <c r="C266" s="26">
        <v>45986</v>
      </c>
      <c r="D266" s="25" t="s">
        <v>183</v>
      </c>
      <c r="E266" s="27"/>
      <c r="F266" s="25" t="s">
        <v>326</v>
      </c>
      <c r="G266" s="27"/>
      <c r="H266" s="25" t="s">
        <v>25</v>
      </c>
      <c r="I266" s="25" t="s">
        <v>222</v>
      </c>
      <c r="J266" s="25" t="s">
        <v>187</v>
      </c>
      <c r="K266" s="28"/>
      <c r="L266" s="29"/>
      <c r="M266" s="30">
        <f>IF(N266=0,0,N266/LOOKUP(C266,Settings!$F$5:$F$20,Settings!$G$5:$G$20))</f>
        <v>572.80804687499995</v>
      </c>
      <c r="N266" s="31">
        <v>7331943</v>
      </c>
      <c r="O266" s="32">
        <f t="shared" si="8"/>
        <v>-572.80804687499995</v>
      </c>
      <c r="P266" s="32">
        <f t="shared" si="9"/>
        <v>-7331943</v>
      </c>
      <c r="Q266" s="25" t="s">
        <v>223</v>
      </c>
      <c r="R266" s="25" t="s">
        <v>224</v>
      </c>
      <c r="S266" s="27"/>
      <c r="T266" s="25" t="s">
        <v>30</v>
      </c>
      <c r="U266" s="25" t="s">
        <v>327</v>
      </c>
    </row>
    <row r="267" spans="1:21" x14ac:dyDescent="0.2">
      <c r="A267" s="33">
        <v>265</v>
      </c>
      <c r="B267" s="33" t="s">
        <v>157</v>
      </c>
      <c r="C267" s="34">
        <v>45996</v>
      </c>
      <c r="D267" s="33" t="s">
        <v>158</v>
      </c>
      <c r="E267" s="35"/>
      <c r="F267" s="33" t="s">
        <v>270</v>
      </c>
      <c r="G267" s="35"/>
      <c r="H267" s="33" t="s">
        <v>36</v>
      </c>
      <c r="I267" s="33" t="s">
        <v>222</v>
      </c>
      <c r="J267" s="33" t="s">
        <v>162</v>
      </c>
      <c r="K267" s="36"/>
      <c r="L267" s="37"/>
      <c r="M267" s="38">
        <f>IF(N267=0,0,N267/LOOKUP(C267,Settings!$F$5:$F$20,Settings!$G$5:$G$20))</f>
        <v>-9727.997313499578</v>
      </c>
      <c r="N267" s="38">
        <f>'Proekt vaqt va Risk'!T20-(N238+N241+N243+N245+N248+N251+N254+N257+N260+N263)</f>
        <v>-124518365.61279461</v>
      </c>
      <c r="O267" s="39">
        <f t="shared" si="8"/>
        <v>9727.997313499578</v>
      </c>
      <c r="P267" s="39">
        <f t="shared" si="9"/>
        <v>124518365.61279461</v>
      </c>
      <c r="Q267" s="33" t="s">
        <v>223</v>
      </c>
      <c r="R267" s="33" t="s">
        <v>224</v>
      </c>
      <c r="S267" s="35"/>
      <c r="T267" s="33" t="s">
        <v>191</v>
      </c>
      <c r="U267" s="33" t="s">
        <v>271</v>
      </c>
    </row>
    <row r="268" spans="1:21" x14ac:dyDescent="0.2">
      <c r="A268" s="25">
        <v>266</v>
      </c>
      <c r="B268" s="25" t="s">
        <v>167</v>
      </c>
      <c r="C268" s="26">
        <v>46016</v>
      </c>
      <c r="D268" s="25" t="s">
        <v>168</v>
      </c>
      <c r="E268" s="27"/>
      <c r="F268" s="25" t="s">
        <v>262</v>
      </c>
      <c r="G268" s="27"/>
      <c r="H268" s="25" t="s">
        <v>72</v>
      </c>
      <c r="I268" s="25" t="s">
        <v>222</v>
      </c>
      <c r="J268" s="25" t="s">
        <v>172</v>
      </c>
      <c r="K268" s="28"/>
      <c r="L268" s="29"/>
      <c r="M268" s="30">
        <f>IF(N268=0,0,N268/LOOKUP(C268,Settings!$F$5:$F$20,Settings!$G$5:$G$20))</f>
        <v>1118.526328125</v>
      </c>
      <c r="N268" s="31">
        <v>14317137</v>
      </c>
      <c r="O268" s="32">
        <f t="shared" si="8"/>
        <v>-1118.526328125</v>
      </c>
      <c r="P268" s="32">
        <f t="shared" si="9"/>
        <v>-14317137</v>
      </c>
      <c r="Q268" s="25" t="s">
        <v>223</v>
      </c>
      <c r="R268" s="25" t="s">
        <v>224</v>
      </c>
      <c r="S268" s="27"/>
      <c r="T268" s="25" t="s">
        <v>191</v>
      </c>
      <c r="U268" s="25" t="s">
        <v>263</v>
      </c>
    </row>
    <row r="269" spans="1:21" x14ac:dyDescent="0.2">
      <c r="A269" s="25">
        <v>267</v>
      </c>
      <c r="B269" s="25" t="s">
        <v>175</v>
      </c>
      <c r="C269" s="26">
        <v>46016</v>
      </c>
      <c r="D269" s="25" t="s">
        <v>176</v>
      </c>
      <c r="E269" s="27"/>
      <c r="F269" s="25" t="s">
        <v>266</v>
      </c>
      <c r="G269" s="27"/>
      <c r="H269" s="25" t="s">
        <v>45</v>
      </c>
      <c r="I269" s="25" t="s">
        <v>222</v>
      </c>
      <c r="J269" s="25" t="s">
        <v>180</v>
      </c>
      <c r="K269" s="28"/>
      <c r="L269" s="29"/>
      <c r="M269" s="30">
        <f>IF(N269=0,0,N269/LOOKUP(C269,Settings!$F$5:$F$20,Settings!$G$5:$G$20))</f>
        <v>1234.9668750000001</v>
      </c>
      <c r="N269" s="31">
        <v>15807576</v>
      </c>
      <c r="O269" s="32">
        <f t="shared" si="8"/>
        <v>-1234.9668750000001</v>
      </c>
      <c r="P269" s="32">
        <f t="shared" si="9"/>
        <v>-15807576</v>
      </c>
      <c r="Q269" s="25" t="s">
        <v>223</v>
      </c>
      <c r="R269" s="25" t="s">
        <v>224</v>
      </c>
      <c r="S269" s="27"/>
      <c r="T269" s="25" t="s">
        <v>191</v>
      </c>
      <c r="U269" s="25" t="s">
        <v>267</v>
      </c>
    </row>
    <row r="270" spans="1:21" x14ac:dyDescent="0.2">
      <c r="A270" s="25">
        <v>268</v>
      </c>
      <c r="B270" s="25" t="s">
        <v>182</v>
      </c>
      <c r="C270" s="26">
        <v>46016</v>
      </c>
      <c r="D270" s="25" t="s">
        <v>183</v>
      </c>
      <c r="E270" s="27"/>
      <c r="F270" s="25" t="s">
        <v>332</v>
      </c>
      <c r="G270" s="27"/>
      <c r="H270" s="25" t="s">
        <v>25</v>
      </c>
      <c r="I270" s="25" t="s">
        <v>222</v>
      </c>
      <c r="J270" s="25" t="s">
        <v>187</v>
      </c>
      <c r="K270" s="28"/>
      <c r="L270" s="29"/>
      <c r="M270" s="30">
        <f>IF(N270=0,0,N270/LOOKUP(C270,Settings!$F$5:$F$20,Settings!$G$5:$G$20))</f>
        <v>665.73617187499997</v>
      </c>
      <c r="N270" s="31">
        <v>8521423</v>
      </c>
      <c r="O270" s="32">
        <f t="shared" si="8"/>
        <v>-665.73617187499997</v>
      </c>
      <c r="P270" s="32">
        <f t="shared" si="9"/>
        <v>-8521423</v>
      </c>
      <c r="Q270" s="25" t="s">
        <v>223</v>
      </c>
      <c r="R270" s="25" t="s">
        <v>224</v>
      </c>
      <c r="S270" s="27"/>
      <c r="T270" s="25" t="s">
        <v>191</v>
      </c>
      <c r="U270" s="25" t="s">
        <v>333</v>
      </c>
    </row>
    <row r="271" spans="1:21" x14ac:dyDescent="0.2">
      <c r="A271" s="33">
        <v>269</v>
      </c>
      <c r="B271" s="33" t="s">
        <v>167</v>
      </c>
      <c r="C271" s="34">
        <v>46027</v>
      </c>
      <c r="D271" s="33" t="s">
        <v>168</v>
      </c>
      <c r="E271" s="35"/>
      <c r="F271" s="33" t="s">
        <v>270</v>
      </c>
      <c r="G271" s="35"/>
      <c r="H271" s="33" t="s">
        <v>72</v>
      </c>
      <c r="I271" s="33" t="s">
        <v>222</v>
      </c>
      <c r="J271" s="33" t="s">
        <v>172</v>
      </c>
      <c r="K271" s="36"/>
      <c r="L271" s="37"/>
      <c r="M271" s="38">
        <f>IF(N271=0,0,N271/LOOKUP(C271,Settings!$F$5:$F$20,Settings!$G$5:$G$20))</f>
        <v>1981.7127146955943</v>
      </c>
      <c r="N271" s="38">
        <f>'Proekt vaqt va Risk'!T21-(N246+N249+N252+N255+N258+N261+N264+N268)</f>
        <v>25465008.383838385</v>
      </c>
      <c r="O271" s="39">
        <f t="shared" si="8"/>
        <v>-1981.7127146955943</v>
      </c>
      <c r="P271" s="39">
        <f t="shared" si="9"/>
        <v>-25465008.383838385</v>
      </c>
      <c r="Q271" s="33" t="s">
        <v>223</v>
      </c>
      <c r="R271" s="33" t="s">
        <v>224</v>
      </c>
      <c r="S271" s="35"/>
      <c r="T271" s="33" t="s">
        <v>191</v>
      </c>
      <c r="U271" s="33" t="s">
        <v>271</v>
      </c>
    </row>
    <row r="272" spans="1:21" x14ac:dyDescent="0.2">
      <c r="A272" s="25">
        <v>270</v>
      </c>
      <c r="B272" s="25" t="s">
        <v>175</v>
      </c>
      <c r="C272" s="26">
        <v>46047</v>
      </c>
      <c r="D272" s="25" t="s">
        <v>176</v>
      </c>
      <c r="E272" s="27"/>
      <c r="F272" s="25" t="s">
        <v>274</v>
      </c>
      <c r="G272" s="27"/>
      <c r="H272" s="25" t="s">
        <v>45</v>
      </c>
      <c r="I272" s="25" t="s">
        <v>222</v>
      </c>
      <c r="J272" s="25" t="s">
        <v>180</v>
      </c>
      <c r="K272" s="28"/>
      <c r="L272" s="29"/>
      <c r="M272" s="30">
        <f>IF(N272=0,0,N272/LOOKUP(C272,Settings!$F$5:$F$20,Settings!$G$5:$G$20))</f>
        <v>884.22879377431912</v>
      </c>
      <c r="N272" s="31">
        <v>11362340</v>
      </c>
      <c r="O272" s="32">
        <f t="shared" si="8"/>
        <v>-884.22879377431912</v>
      </c>
      <c r="P272" s="32">
        <f t="shared" si="9"/>
        <v>-11362340</v>
      </c>
      <c r="Q272" s="25" t="s">
        <v>223</v>
      </c>
      <c r="R272" s="25" t="s">
        <v>224</v>
      </c>
      <c r="S272" s="27"/>
      <c r="T272" s="25" t="s">
        <v>191</v>
      </c>
      <c r="U272" s="25" t="s">
        <v>275</v>
      </c>
    </row>
    <row r="273" spans="1:21" x14ac:dyDescent="0.2">
      <c r="A273" s="25">
        <v>271</v>
      </c>
      <c r="B273" s="25" t="s">
        <v>182</v>
      </c>
      <c r="C273" s="26">
        <v>46047</v>
      </c>
      <c r="D273" s="25" t="s">
        <v>183</v>
      </c>
      <c r="E273" s="27"/>
      <c r="F273" s="25" t="s">
        <v>338</v>
      </c>
      <c r="G273" s="27"/>
      <c r="H273" s="25" t="s">
        <v>25</v>
      </c>
      <c r="I273" s="25" t="s">
        <v>222</v>
      </c>
      <c r="J273" s="25" t="s">
        <v>187</v>
      </c>
      <c r="K273" s="28"/>
      <c r="L273" s="29"/>
      <c r="M273" s="30">
        <f>IF(N273=0,0,N273/LOOKUP(C273,Settings!$F$5:$F$20,Settings!$G$5:$G$20))</f>
        <v>1184.2474708171205</v>
      </c>
      <c r="N273" s="31">
        <v>15217580</v>
      </c>
      <c r="O273" s="32">
        <f t="shared" si="8"/>
        <v>-1184.2474708171205</v>
      </c>
      <c r="P273" s="32">
        <f t="shared" si="9"/>
        <v>-15217580</v>
      </c>
      <c r="Q273" s="25" t="s">
        <v>223</v>
      </c>
      <c r="R273" s="25" t="s">
        <v>224</v>
      </c>
      <c r="S273" s="27"/>
      <c r="T273" s="25" t="s">
        <v>191</v>
      </c>
      <c r="U273" s="25" t="s">
        <v>339</v>
      </c>
    </row>
    <row r="274" spans="1:21" x14ac:dyDescent="0.2">
      <c r="A274" s="33">
        <v>272</v>
      </c>
      <c r="B274" s="33" t="s">
        <v>175</v>
      </c>
      <c r="C274" s="34">
        <v>46058</v>
      </c>
      <c r="D274" s="33" t="s">
        <v>176</v>
      </c>
      <c r="E274" s="35"/>
      <c r="F274" s="33" t="s">
        <v>270</v>
      </c>
      <c r="G274" s="35"/>
      <c r="H274" s="33" t="s">
        <v>45</v>
      </c>
      <c r="I274" s="33" t="s">
        <v>222</v>
      </c>
      <c r="J274" s="33" t="s">
        <v>180</v>
      </c>
      <c r="K274" s="36"/>
      <c r="L274" s="37"/>
      <c r="M274" s="38">
        <f>IF(N274=0,0,N274/LOOKUP(C274,Settings!$F$5:$F$20,Settings!$G$5:$G$20))</f>
        <v>10376.839114360202</v>
      </c>
      <c r="N274" s="38">
        <f>'Proekt vaqt va Risk'!T22-(N256+N259+N262+N265+N269+N272)</f>
        <v>133342382.61952859</v>
      </c>
      <c r="O274" s="39">
        <f t="shared" si="8"/>
        <v>-10376.839114360202</v>
      </c>
      <c r="P274" s="39">
        <f t="shared" si="9"/>
        <v>-133342382.61952859</v>
      </c>
      <c r="Q274" s="33" t="s">
        <v>223</v>
      </c>
      <c r="R274" s="33" t="s">
        <v>224</v>
      </c>
      <c r="S274" s="35"/>
      <c r="T274" s="33" t="s">
        <v>191</v>
      </c>
      <c r="U274" s="33" t="s">
        <v>271</v>
      </c>
    </row>
    <row r="275" spans="1:21" x14ac:dyDescent="0.2">
      <c r="A275" s="25">
        <v>273</v>
      </c>
      <c r="B275" s="25" t="s">
        <v>182</v>
      </c>
      <c r="C275" s="26">
        <v>46078</v>
      </c>
      <c r="D275" s="25" t="s">
        <v>183</v>
      </c>
      <c r="E275" s="27"/>
      <c r="F275" s="25" t="s">
        <v>344</v>
      </c>
      <c r="G275" s="27"/>
      <c r="H275" s="25" t="s">
        <v>25</v>
      </c>
      <c r="I275" s="25" t="s">
        <v>222</v>
      </c>
      <c r="J275" s="25" t="s">
        <v>187</v>
      </c>
      <c r="K275" s="28"/>
      <c r="L275" s="29"/>
      <c r="M275" s="30">
        <f>IF(N275=0,0,N275/LOOKUP(C275,Settings!$F$5:$F$20,Settings!$G$5:$G$20))</f>
        <v>408.34801556420234</v>
      </c>
      <c r="N275" s="31">
        <v>5247272</v>
      </c>
      <c r="O275" s="32">
        <f t="shared" si="8"/>
        <v>-408.34801556420234</v>
      </c>
      <c r="P275" s="32">
        <f t="shared" si="9"/>
        <v>-5247272</v>
      </c>
      <c r="Q275" s="25" t="s">
        <v>223</v>
      </c>
      <c r="R275" s="25" t="s">
        <v>224</v>
      </c>
      <c r="S275" s="27"/>
      <c r="T275" s="25" t="s">
        <v>191</v>
      </c>
      <c r="U275" s="25" t="s">
        <v>345</v>
      </c>
    </row>
    <row r="276" spans="1:21" x14ac:dyDescent="0.2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1">
        <f>IF(L276=0,0,L276/LOOKUP(C276,Settings!$F$5:$F$20,Settings!$G$5:$G$20))</f>
        <v>0</v>
      </c>
      <c r="L276" s="42"/>
      <c r="M276" s="41">
        <f>IF(N276=0,0,N276/LOOKUP(C276,Settings!$F$5:$F$20,Settings!$G$5:$G$20))</f>
        <v>0</v>
      </c>
      <c r="N276" s="42"/>
      <c r="O276" s="43">
        <f t="shared" si="8"/>
        <v>0</v>
      </c>
      <c r="P276" s="43">
        <f t="shared" si="9"/>
        <v>0</v>
      </c>
      <c r="Q276" s="40"/>
      <c r="R276" s="40"/>
      <c r="S276" s="40"/>
      <c r="T276" s="40"/>
      <c r="U276" s="40"/>
    </row>
    <row r="277" spans="1:21" x14ac:dyDescent="0.2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1">
        <f>IF(L277=0,0,L277/LOOKUP(C277,Settings!$F$5:$F$20,Settings!$G$5:$G$20))</f>
        <v>0</v>
      </c>
      <c r="L277" s="42"/>
      <c r="M277" s="41">
        <f>IF(N277=0,0,N277/LOOKUP(C277,Settings!$F$5:$F$20,Settings!$G$5:$G$20))</f>
        <v>0</v>
      </c>
      <c r="N277" s="42"/>
      <c r="O277" s="43">
        <f t="shared" si="8"/>
        <v>0</v>
      </c>
      <c r="P277" s="43">
        <f t="shared" si="9"/>
        <v>0</v>
      </c>
      <c r="Q277" s="40"/>
      <c r="R277" s="40"/>
      <c r="S277" s="40"/>
      <c r="T277" s="40"/>
      <c r="U277" s="40"/>
    </row>
    <row r="278" spans="1:21" x14ac:dyDescent="0.2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1">
        <f>IF(L278=0,0,L278/LOOKUP(C278,Settings!$F$5:$F$20,Settings!$G$5:$G$20))</f>
        <v>0</v>
      </c>
      <c r="L278" s="42"/>
      <c r="M278" s="41">
        <f>IF(N278=0,0,N278/LOOKUP(C278,Settings!$F$5:$F$20,Settings!$G$5:$G$20))</f>
        <v>0</v>
      </c>
      <c r="N278" s="42"/>
      <c r="O278" s="43">
        <f t="shared" si="8"/>
        <v>0</v>
      </c>
      <c r="P278" s="43">
        <f t="shared" si="9"/>
        <v>0</v>
      </c>
      <c r="Q278" s="40"/>
      <c r="R278" s="40"/>
      <c r="S278" s="40"/>
      <c r="T278" s="40"/>
      <c r="U278" s="40"/>
    </row>
    <row r="279" spans="1:21" x14ac:dyDescent="0.2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1">
        <f>IF(L279=0,0,L279/LOOKUP(C279,Settings!$F$5:$F$20,Settings!$G$5:$G$20))</f>
        <v>0</v>
      </c>
      <c r="L279" s="42"/>
      <c r="M279" s="41">
        <f>IF(N279=0,0,N279/LOOKUP(C279,Settings!$F$5:$F$20,Settings!$G$5:$G$20))</f>
        <v>0</v>
      </c>
      <c r="N279" s="42"/>
      <c r="O279" s="43">
        <f t="shared" si="8"/>
        <v>0</v>
      </c>
      <c r="P279" s="43">
        <f t="shared" si="9"/>
        <v>0</v>
      </c>
      <c r="Q279" s="40"/>
      <c r="R279" s="40"/>
      <c r="S279" s="40"/>
      <c r="T279" s="40"/>
      <c r="U279" s="40"/>
    </row>
    <row r="280" spans="1:21" x14ac:dyDescent="0.2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1">
        <f>IF(L280=0,0,L280/LOOKUP(C280,Settings!$F$5:$F$20,Settings!$G$5:$G$20))</f>
        <v>0</v>
      </c>
      <c r="L280" s="42"/>
      <c r="M280" s="41">
        <f>IF(N280=0,0,N280/LOOKUP(C280,Settings!$F$5:$F$20,Settings!$G$5:$G$20))</f>
        <v>0</v>
      </c>
      <c r="N280" s="42"/>
      <c r="O280" s="43">
        <f t="shared" si="8"/>
        <v>0</v>
      </c>
      <c r="P280" s="43">
        <f t="shared" si="9"/>
        <v>0</v>
      </c>
      <c r="Q280" s="40"/>
      <c r="R280" s="40"/>
      <c r="S280" s="40"/>
      <c r="T280" s="40"/>
      <c r="U280" s="40"/>
    </row>
    <row r="281" spans="1:21" x14ac:dyDescent="0.2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1">
        <f>IF(L281=0,0,L281/LOOKUP(C281,Settings!$F$5:$F$20,Settings!$G$5:$G$20))</f>
        <v>0</v>
      </c>
      <c r="L281" s="42"/>
      <c r="M281" s="41">
        <f>IF(N281=0,0,N281/LOOKUP(C281,Settings!$F$5:$F$20,Settings!$G$5:$G$20))</f>
        <v>0</v>
      </c>
      <c r="N281" s="42"/>
      <c r="O281" s="43">
        <f t="shared" si="8"/>
        <v>0</v>
      </c>
      <c r="P281" s="43">
        <f t="shared" si="9"/>
        <v>0</v>
      </c>
      <c r="Q281" s="40"/>
      <c r="R281" s="40"/>
      <c r="S281" s="40"/>
      <c r="T281" s="40"/>
      <c r="U281" s="40"/>
    </row>
    <row r="282" spans="1:21" x14ac:dyDescent="0.2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1">
        <f>IF(L282=0,0,L282/LOOKUP(C282,Settings!$F$5:$F$20,Settings!$G$5:$G$20))</f>
        <v>0</v>
      </c>
      <c r="L282" s="42"/>
      <c r="M282" s="41">
        <f>IF(N282=0,0,N282/LOOKUP(C282,Settings!$F$5:$F$20,Settings!$G$5:$G$20))</f>
        <v>0</v>
      </c>
      <c r="N282" s="42"/>
      <c r="O282" s="43">
        <f t="shared" si="8"/>
        <v>0</v>
      </c>
      <c r="P282" s="43">
        <f t="shared" si="9"/>
        <v>0</v>
      </c>
      <c r="Q282" s="40"/>
      <c r="R282" s="40"/>
      <c r="S282" s="40"/>
      <c r="T282" s="40"/>
      <c r="U282" s="40"/>
    </row>
    <row r="283" spans="1:21" x14ac:dyDescent="0.2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1">
        <f>IF(L283=0,0,L283/LOOKUP(C283,Settings!$F$5:$F$20,Settings!$G$5:$G$20))</f>
        <v>0</v>
      </c>
      <c r="L283" s="42"/>
      <c r="M283" s="41">
        <f>IF(N283=0,0,N283/LOOKUP(C283,Settings!$F$5:$F$20,Settings!$G$5:$G$20))</f>
        <v>0</v>
      </c>
      <c r="N283" s="42"/>
      <c r="O283" s="43">
        <f t="shared" si="8"/>
        <v>0</v>
      </c>
      <c r="P283" s="43">
        <f t="shared" si="9"/>
        <v>0</v>
      </c>
      <c r="Q283" s="40"/>
      <c r="R283" s="40"/>
      <c r="S283" s="40"/>
      <c r="T283" s="40"/>
      <c r="U283" s="40"/>
    </row>
    <row r="284" spans="1:21" x14ac:dyDescent="0.2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1">
        <f>IF(L284=0,0,L284/LOOKUP(C284,Settings!$F$5:$F$20,Settings!$G$5:$G$20))</f>
        <v>0</v>
      </c>
      <c r="L284" s="42"/>
      <c r="M284" s="41">
        <f>IF(N284=0,0,N284/LOOKUP(C284,Settings!$F$5:$F$20,Settings!$G$5:$G$20))</f>
        <v>0</v>
      </c>
      <c r="N284" s="42"/>
      <c r="O284" s="43">
        <f t="shared" si="8"/>
        <v>0</v>
      </c>
      <c r="P284" s="43">
        <f t="shared" si="9"/>
        <v>0</v>
      </c>
      <c r="Q284" s="40"/>
      <c r="R284" s="40"/>
      <c r="S284" s="40"/>
      <c r="T284" s="40"/>
      <c r="U284" s="40"/>
    </row>
    <row r="285" spans="1:21" x14ac:dyDescent="0.2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1">
        <f>IF(L285=0,0,L285/LOOKUP(C285,Settings!$F$5:$F$20,Settings!$G$5:$G$20))</f>
        <v>0</v>
      </c>
      <c r="L285" s="42"/>
      <c r="M285" s="41">
        <f>IF(N285=0,0,N285/LOOKUP(C285,Settings!$F$5:$F$20,Settings!$G$5:$G$20))</f>
        <v>0</v>
      </c>
      <c r="N285" s="42"/>
      <c r="O285" s="43">
        <f t="shared" si="8"/>
        <v>0</v>
      </c>
      <c r="P285" s="43">
        <f t="shared" si="9"/>
        <v>0</v>
      </c>
      <c r="Q285" s="40"/>
      <c r="R285" s="40"/>
      <c r="S285" s="40"/>
      <c r="T285" s="40"/>
      <c r="U285" s="40"/>
    </row>
    <row r="286" spans="1:21" x14ac:dyDescent="0.2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1">
        <f>IF(L286=0,0,L286/LOOKUP(C286,Settings!$F$5:$F$20,Settings!$G$5:$G$20))</f>
        <v>0</v>
      </c>
      <c r="L286" s="42"/>
      <c r="M286" s="41">
        <f>IF(N286=0,0,N286/LOOKUP(C286,Settings!$F$5:$F$20,Settings!$G$5:$G$20))</f>
        <v>0</v>
      </c>
      <c r="N286" s="42"/>
      <c r="O286" s="43">
        <f t="shared" si="8"/>
        <v>0</v>
      </c>
      <c r="P286" s="43">
        <f t="shared" si="9"/>
        <v>0</v>
      </c>
      <c r="Q286" s="40"/>
      <c r="R286" s="40"/>
      <c r="S286" s="40"/>
      <c r="T286" s="40"/>
      <c r="U286" s="40"/>
    </row>
    <row r="287" spans="1:21" x14ac:dyDescent="0.2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1">
        <f>IF(L287=0,0,L287/LOOKUP(C287,Settings!$F$5:$F$20,Settings!$G$5:$G$20))</f>
        <v>0</v>
      </c>
      <c r="L287" s="42"/>
      <c r="M287" s="41">
        <f>IF(N287=0,0,N287/LOOKUP(C287,Settings!$F$5:$F$20,Settings!$G$5:$G$20))</f>
        <v>0</v>
      </c>
      <c r="N287" s="42"/>
      <c r="O287" s="43">
        <f t="shared" si="8"/>
        <v>0</v>
      </c>
      <c r="P287" s="43">
        <f t="shared" si="9"/>
        <v>0</v>
      </c>
      <c r="Q287" s="40"/>
      <c r="R287" s="40"/>
      <c r="S287" s="40"/>
      <c r="T287" s="40"/>
      <c r="U287" s="40"/>
    </row>
    <row r="288" spans="1:21" x14ac:dyDescent="0.2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1">
        <f>IF(L288=0,0,L288/LOOKUP(C288,Settings!$F$5:$F$20,Settings!$G$5:$G$20))</f>
        <v>0</v>
      </c>
      <c r="L288" s="42"/>
      <c r="M288" s="41">
        <f>IF(N288=0,0,N288/LOOKUP(C288,Settings!$F$5:$F$20,Settings!$G$5:$G$20))</f>
        <v>0</v>
      </c>
      <c r="N288" s="42"/>
      <c r="O288" s="43">
        <f t="shared" si="8"/>
        <v>0</v>
      </c>
      <c r="P288" s="43">
        <f t="shared" si="9"/>
        <v>0</v>
      </c>
      <c r="Q288" s="40"/>
      <c r="R288" s="40"/>
      <c r="S288" s="40"/>
      <c r="T288" s="40"/>
      <c r="U288" s="40"/>
    </row>
    <row r="289" spans="1:21" x14ac:dyDescent="0.2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1">
        <f>IF(L289=0,0,L289/LOOKUP(C289,Settings!$F$5:$F$20,Settings!$G$5:$G$20))</f>
        <v>0</v>
      </c>
      <c r="L289" s="42"/>
      <c r="M289" s="41">
        <f>IF(N289=0,0,N289/LOOKUP(C289,Settings!$F$5:$F$20,Settings!$G$5:$G$20))</f>
        <v>0</v>
      </c>
      <c r="N289" s="42"/>
      <c r="O289" s="43">
        <f t="shared" si="8"/>
        <v>0</v>
      </c>
      <c r="P289" s="43">
        <f t="shared" si="9"/>
        <v>0</v>
      </c>
      <c r="Q289" s="40"/>
      <c r="R289" s="40"/>
      <c r="S289" s="40"/>
      <c r="T289" s="40"/>
      <c r="U289" s="40"/>
    </row>
    <row r="290" spans="1:21" x14ac:dyDescent="0.2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1">
        <f>IF(L290=0,0,L290/LOOKUP(C290,Settings!$F$5:$F$20,Settings!$G$5:$G$20))</f>
        <v>0</v>
      </c>
      <c r="L290" s="42"/>
      <c r="M290" s="41">
        <f>IF(N290=0,0,N290/LOOKUP(C290,Settings!$F$5:$F$20,Settings!$G$5:$G$20))</f>
        <v>0</v>
      </c>
      <c r="N290" s="42"/>
      <c r="O290" s="43">
        <f t="shared" si="8"/>
        <v>0</v>
      </c>
      <c r="P290" s="43">
        <f t="shared" si="9"/>
        <v>0</v>
      </c>
      <c r="Q290" s="40"/>
      <c r="R290" s="40"/>
      <c r="S290" s="40"/>
      <c r="T290" s="40"/>
      <c r="U290" s="40"/>
    </row>
    <row r="291" spans="1:21" x14ac:dyDescent="0.2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1">
        <f>IF(L291=0,0,L291/LOOKUP(C291,Settings!$F$5:$F$20,Settings!$G$5:$G$20))</f>
        <v>0</v>
      </c>
      <c r="L291" s="42"/>
      <c r="M291" s="41">
        <f>IF(N291=0,0,N291/LOOKUP(C291,Settings!$F$5:$F$20,Settings!$G$5:$G$20))</f>
        <v>0</v>
      </c>
      <c r="N291" s="42"/>
      <c r="O291" s="43">
        <f t="shared" si="8"/>
        <v>0</v>
      </c>
      <c r="P291" s="43">
        <f t="shared" si="9"/>
        <v>0</v>
      </c>
      <c r="Q291" s="40"/>
      <c r="R291" s="40"/>
      <c r="S291" s="40"/>
      <c r="T291" s="40"/>
      <c r="U291" s="40"/>
    </row>
    <row r="292" spans="1:21" x14ac:dyDescent="0.2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1">
        <f>IF(L292=0,0,L292/LOOKUP(C292,Settings!$F$5:$F$20,Settings!$G$5:$G$20))</f>
        <v>0</v>
      </c>
      <c r="L292" s="42"/>
      <c r="M292" s="41">
        <f>IF(N292=0,0,N292/LOOKUP(C292,Settings!$F$5:$F$20,Settings!$G$5:$G$20))</f>
        <v>0</v>
      </c>
      <c r="N292" s="42"/>
      <c r="O292" s="43">
        <f t="shared" si="8"/>
        <v>0</v>
      </c>
      <c r="P292" s="43">
        <f t="shared" si="9"/>
        <v>0</v>
      </c>
      <c r="Q292" s="40"/>
      <c r="R292" s="40"/>
      <c r="S292" s="40"/>
      <c r="T292" s="40"/>
      <c r="U292" s="40"/>
    </row>
    <row r="293" spans="1:21" x14ac:dyDescent="0.2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1">
        <f>IF(L293=0,0,L293/LOOKUP(C293,Settings!$F$5:$F$20,Settings!$G$5:$G$20))</f>
        <v>0</v>
      </c>
      <c r="L293" s="42"/>
      <c r="M293" s="41">
        <f>IF(N293=0,0,N293/LOOKUP(C293,Settings!$F$5:$F$20,Settings!$G$5:$G$20))</f>
        <v>0</v>
      </c>
      <c r="N293" s="42"/>
      <c r="O293" s="43">
        <f t="shared" si="8"/>
        <v>0</v>
      </c>
      <c r="P293" s="43">
        <f t="shared" si="9"/>
        <v>0</v>
      </c>
      <c r="Q293" s="40"/>
      <c r="R293" s="40"/>
      <c r="S293" s="40"/>
      <c r="T293" s="40"/>
      <c r="U293" s="40"/>
    </row>
    <row r="294" spans="1:21" x14ac:dyDescent="0.2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1">
        <f>IF(L294=0,0,L294/LOOKUP(C294,Settings!$F$5:$F$20,Settings!$G$5:$G$20))</f>
        <v>0</v>
      </c>
      <c r="L294" s="42"/>
      <c r="M294" s="41">
        <f>IF(N294=0,0,N294/LOOKUP(C294,Settings!$F$5:$F$20,Settings!$G$5:$G$20))</f>
        <v>0</v>
      </c>
      <c r="N294" s="42"/>
      <c r="O294" s="43">
        <f t="shared" si="8"/>
        <v>0</v>
      </c>
      <c r="P294" s="43">
        <f t="shared" si="9"/>
        <v>0</v>
      </c>
      <c r="Q294" s="40"/>
      <c r="R294" s="40"/>
      <c r="S294" s="40"/>
      <c r="T294" s="40"/>
      <c r="U294" s="40"/>
    </row>
    <row r="295" spans="1:21" x14ac:dyDescent="0.2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1">
        <f>IF(L295=0,0,L295/LOOKUP(C295,Settings!$F$5:$F$20,Settings!$G$5:$G$20))</f>
        <v>0</v>
      </c>
      <c r="L295" s="42"/>
      <c r="M295" s="41">
        <f>IF(N295=0,0,N295/LOOKUP(C295,Settings!$F$5:$F$20,Settings!$G$5:$G$20))</f>
        <v>0</v>
      </c>
      <c r="N295" s="42"/>
      <c r="O295" s="43">
        <f t="shared" si="8"/>
        <v>0</v>
      </c>
      <c r="P295" s="43">
        <f t="shared" si="9"/>
        <v>0</v>
      </c>
      <c r="Q295" s="40"/>
      <c r="R295" s="40"/>
      <c r="S295" s="40"/>
      <c r="T295" s="40"/>
      <c r="U295" s="40"/>
    </row>
    <row r="296" spans="1:21" x14ac:dyDescent="0.2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1">
        <f>IF(L296=0,0,L296/LOOKUP(C296,Settings!$F$5:$F$20,Settings!$G$5:$G$20))</f>
        <v>0</v>
      </c>
      <c r="L296" s="42"/>
      <c r="M296" s="41">
        <f>IF(N296=0,0,N296/LOOKUP(C296,Settings!$F$5:$F$20,Settings!$G$5:$G$20))</f>
        <v>0</v>
      </c>
      <c r="N296" s="42"/>
      <c r="O296" s="43">
        <f t="shared" si="8"/>
        <v>0</v>
      </c>
      <c r="P296" s="43">
        <f t="shared" si="9"/>
        <v>0</v>
      </c>
      <c r="Q296" s="40"/>
      <c r="R296" s="40"/>
      <c r="S296" s="40"/>
      <c r="T296" s="40"/>
      <c r="U296" s="40"/>
    </row>
    <row r="297" spans="1:21" x14ac:dyDescent="0.2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1">
        <f>IF(L297=0,0,L297/LOOKUP(C297,Settings!$F$5:$F$20,Settings!$G$5:$G$20))</f>
        <v>0</v>
      </c>
      <c r="L297" s="42"/>
      <c r="M297" s="41">
        <f>IF(N297=0,0,N297/LOOKUP(C297,Settings!$F$5:$F$20,Settings!$G$5:$G$20))</f>
        <v>0</v>
      </c>
      <c r="N297" s="42"/>
      <c r="O297" s="43">
        <f t="shared" si="8"/>
        <v>0</v>
      </c>
      <c r="P297" s="43">
        <f t="shared" si="9"/>
        <v>0</v>
      </c>
      <c r="Q297" s="40"/>
      <c r="R297" s="40"/>
      <c r="S297" s="40"/>
      <c r="T297" s="40"/>
      <c r="U297" s="40"/>
    </row>
    <row r="298" spans="1:21" x14ac:dyDescent="0.2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1">
        <f>IF(L298=0,0,L298/LOOKUP(C298,Settings!$F$5:$F$20,Settings!$G$5:$G$20))</f>
        <v>0</v>
      </c>
      <c r="L298" s="42"/>
      <c r="M298" s="41">
        <f>IF(N298=0,0,N298/LOOKUP(C298,Settings!$F$5:$F$20,Settings!$G$5:$G$20))</f>
        <v>0</v>
      </c>
      <c r="N298" s="42"/>
      <c r="O298" s="43">
        <f t="shared" si="8"/>
        <v>0</v>
      </c>
      <c r="P298" s="43">
        <f t="shared" si="9"/>
        <v>0</v>
      </c>
      <c r="Q298" s="40"/>
      <c r="R298" s="40"/>
      <c r="S298" s="40"/>
      <c r="T298" s="40"/>
      <c r="U298" s="40"/>
    </row>
    <row r="299" spans="1:21" x14ac:dyDescent="0.2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1">
        <f>IF(L299=0,0,L299/LOOKUP(C299,Settings!$F$5:$F$20,Settings!$G$5:$G$20))</f>
        <v>0</v>
      </c>
      <c r="L299" s="42"/>
      <c r="M299" s="41">
        <f>IF(N299=0,0,N299/LOOKUP(C299,Settings!$F$5:$F$20,Settings!$G$5:$G$20))</f>
        <v>0</v>
      </c>
      <c r="N299" s="42"/>
      <c r="O299" s="43">
        <f t="shared" si="8"/>
        <v>0</v>
      </c>
      <c r="P299" s="43">
        <f t="shared" si="9"/>
        <v>0</v>
      </c>
      <c r="Q299" s="40"/>
      <c r="R299" s="40"/>
      <c r="S299" s="40"/>
      <c r="T299" s="40"/>
      <c r="U299" s="40"/>
    </row>
    <row r="300" spans="1:21" x14ac:dyDescent="0.2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1">
        <f>IF(L300=0,0,L300/LOOKUP(C300,Settings!$F$5:$F$20,Settings!$G$5:$G$20))</f>
        <v>0</v>
      </c>
      <c r="L300" s="42"/>
      <c r="M300" s="41">
        <f>IF(N300=0,0,N300/LOOKUP(C300,Settings!$F$5:$F$20,Settings!$G$5:$G$20))</f>
        <v>0</v>
      </c>
      <c r="N300" s="42"/>
      <c r="O300" s="43">
        <f t="shared" si="8"/>
        <v>0</v>
      </c>
      <c r="P300" s="43">
        <f t="shared" si="9"/>
        <v>0</v>
      </c>
      <c r="Q300" s="40"/>
      <c r="R300" s="40"/>
      <c r="S300" s="40"/>
      <c r="T300" s="40"/>
      <c r="U300" s="40"/>
    </row>
    <row r="301" spans="1:21" x14ac:dyDescent="0.2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1">
        <f>IF(L301=0,0,L301/LOOKUP(C301,Settings!$F$5:$F$20,Settings!$G$5:$G$20))</f>
        <v>0</v>
      </c>
      <c r="L301" s="42"/>
      <c r="M301" s="41">
        <f>IF(N301=0,0,N301/LOOKUP(C301,Settings!$F$5:$F$20,Settings!$G$5:$G$20))</f>
        <v>0</v>
      </c>
      <c r="N301" s="42"/>
      <c r="O301" s="43">
        <f t="shared" si="8"/>
        <v>0</v>
      </c>
      <c r="P301" s="43">
        <f t="shared" si="9"/>
        <v>0</v>
      </c>
      <c r="Q301" s="40"/>
      <c r="R301" s="40"/>
      <c r="S301" s="40"/>
      <c r="T301" s="40"/>
      <c r="U301" s="40"/>
    </row>
    <row r="302" spans="1:21" x14ac:dyDescent="0.2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1">
        <f>IF(L302=0,0,L302/LOOKUP(C302,Settings!$F$5:$F$20,Settings!$G$5:$G$20))</f>
        <v>0</v>
      </c>
      <c r="L302" s="42"/>
      <c r="M302" s="41">
        <f>IF(N302=0,0,N302/LOOKUP(C302,Settings!$F$5:$F$20,Settings!$G$5:$G$20))</f>
        <v>0</v>
      </c>
      <c r="N302" s="42"/>
      <c r="O302" s="43">
        <f t="shared" si="8"/>
        <v>0</v>
      </c>
      <c r="P302" s="43">
        <f t="shared" si="9"/>
        <v>0</v>
      </c>
      <c r="Q302" s="40"/>
      <c r="R302" s="40"/>
      <c r="S302" s="40"/>
      <c r="T302" s="40"/>
      <c r="U302" s="40"/>
    </row>
    <row r="303" spans="1:21" x14ac:dyDescent="0.2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1">
        <f>IF(L303=0,0,L303/LOOKUP(C303,Settings!$F$5:$F$20,Settings!$G$5:$G$20))</f>
        <v>0</v>
      </c>
      <c r="L303" s="42"/>
      <c r="M303" s="41">
        <f>IF(N303=0,0,N303/LOOKUP(C303,Settings!$F$5:$F$20,Settings!$G$5:$G$20))</f>
        <v>0</v>
      </c>
      <c r="N303" s="42"/>
      <c r="O303" s="43">
        <f t="shared" si="8"/>
        <v>0</v>
      </c>
      <c r="P303" s="43">
        <f t="shared" si="9"/>
        <v>0</v>
      </c>
      <c r="Q303" s="40"/>
      <c r="R303" s="40"/>
      <c r="S303" s="40"/>
      <c r="T303" s="40"/>
      <c r="U303" s="40"/>
    </row>
    <row r="304" spans="1:21" x14ac:dyDescent="0.2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1">
        <f>IF(L304=0,0,L304/LOOKUP(C304,Settings!$F$5:$F$20,Settings!$G$5:$G$20))</f>
        <v>0</v>
      </c>
      <c r="L304" s="42"/>
      <c r="M304" s="41">
        <f>IF(N304=0,0,N304/LOOKUP(C304,Settings!$F$5:$F$20,Settings!$G$5:$G$20))</f>
        <v>0</v>
      </c>
      <c r="N304" s="42"/>
      <c r="O304" s="43">
        <f t="shared" si="8"/>
        <v>0</v>
      </c>
      <c r="P304" s="43">
        <f t="shared" si="9"/>
        <v>0</v>
      </c>
      <c r="Q304" s="40"/>
      <c r="R304" s="40"/>
      <c r="S304" s="40"/>
      <c r="T304" s="40"/>
      <c r="U304" s="40"/>
    </row>
  </sheetData>
  <autoFilter ref="A2:U275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4A89A"/>
  </sheetPr>
  <dimension ref="A2:O333"/>
  <sheetViews>
    <sheetView topLeftCell="A154" zoomScaleNormal="100" workbookViewId="0"/>
  </sheetViews>
  <sheetFormatPr baseColWidth="10" defaultColWidth="8.6640625" defaultRowHeight="15" x14ac:dyDescent="0.2"/>
  <cols>
    <col min="1" max="1" width="5" customWidth="1"/>
    <col min="2" max="2" width="10" customWidth="1"/>
    <col min="3" max="3" width="12" customWidth="1"/>
    <col min="4" max="4" width="18" customWidth="1"/>
    <col min="5" max="5" width="22" customWidth="1"/>
    <col min="6" max="6" width="14" customWidth="1"/>
    <col min="7" max="7" width="22" customWidth="1"/>
    <col min="8" max="8" width="12" customWidth="1"/>
    <col min="9" max="11" width="16" customWidth="1"/>
    <col min="12" max="14" width="14" customWidth="1"/>
    <col min="15" max="15" width="20" customWidth="1"/>
  </cols>
  <sheetData>
    <row r="2" spans="1:15" ht="28" x14ac:dyDescent="0.2">
      <c r="A2" s="12" t="s">
        <v>0</v>
      </c>
      <c r="B2" s="12" t="s">
        <v>1</v>
      </c>
      <c r="C2" s="12" t="s">
        <v>2</v>
      </c>
      <c r="D2" s="12" t="s">
        <v>4</v>
      </c>
      <c r="E2" s="12" t="s">
        <v>5</v>
      </c>
      <c r="F2" s="12" t="s">
        <v>354</v>
      </c>
      <c r="G2" s="12" t="s">
        <v>355</v>
      </c>
      <c r="H2" s="12" t="s">
        <v>9</v>
      </c>
      <c r="I2" s="12" t="s">
        <v>356</v>
      </c>
      <c r="J2" s="12" t="s">
        <v>357</v>
      </c>
      <c r="K2" s="12" t="s">
        <v>358</v>
      </c>
      <c r="L2" s="12" t="s">
        <v>359</v>
      </c>
      <c r="M2" s="12" t="s">
        <v>360</v>
      </c>
      <c r="N2" s="12" t="s">
        <v>361</v>
      </c>
      <c r="O2" s="12" t="s">
        <v>20</v>
      </c>
    </row>
    <row r="3" spans="1:15" x14ac:dyDescent="0.2">
      <c r="A3" s="13">
        <v>1</v>
      </c>
      <c r="B3" s="13" t="s">
        <v>362</v>
      </c>
      <c r="C3" s="14">
        <v>44747</v>
      </c>
      <c r="D3" s="15"/>
      <c r="E3" s="13" t="s">
        <v>363</v>
      </c>
      <c r="F3" s="13" t="s">
        <v>364</v>
      </c>
      <c r="G3" s="13" t="s">
        <v>365</v>
      </c>
      <c r="H3" s="13" t="s">
        <v>362</v>
      </c>
      <c r="I3" s="15"/>
      <c r="J3" s="44">
        <v>32000000</v>
      </c>
      <c r="K3" s="44">
        <f t="shared" ref="K3:K66" si="0">I3-J3</f>
        <v>-32000000</v>
      </c>
      <c r="L3" s="44">
        <f>IF(I3=0,0,I3/LOOKUP(C3,Settings!$F$5:$F$20,Settings!$G$5:$G$20))</f>
        <v>0</v>
      </c>
      <c r="M3" s="44">
        <f>IF(J3=0,0,J3/LOOKUP(C3,Settings!$F$5:$F$20,Settings!$G$5:$G$20))</f>
        <v>2949.3087557603685</v>
      </c>
      <c r="N3" s="44">
        <f t="shared" ref="N3:N66" si="1">L3-M3</f>
        <v>-2949.3087557603685</v>
      </c>
      <c r="O3" s="13" t="s">
        <v>366</v>
      </c>
    </row>
    <row r="4" spans="1:15" x14ac:dyDescent="0.2">
      <c r="A4" s="19">
        <v>2</v>
      </c>
      <c r="B4" s="19" t="s">
        <v>367</v>
      </c>
      <c r="C4" s="20">
        <v>44751</v>
      </c>
      <c r="D4" s="21"/>
      <c r="E4" s="19" t="s">
        <v>368</v>
      </c>
      <c r="F4" s="19" t="s">
        <v>369</v>
      </c>
      <c r="G4" s="19" t="s">
        <v>370</v>
      </c>
      <c r="H4" s="19" t="s">
        <v>367</v>
      </c>
      <c r="I4" s="21"/>
      <c r="J4" s="45">
        <v>4432780</v>
      </c>
      <c r="K4" s="45">
        <f t="shared" si="0"/>
        <v>-4432780</v>
      </c>
      <c r="L4" s="45">
        <f>IF(I4=0,0,I4/LOOKUP(C4,Settings!$F$5:$F$20,Settings!$G$5:$G$20))</f>
        <v>0</v>
      </c>
      <c r="M4" s="45">
        <f>IF(J4=0,0,J4/LOOKUP(C4,Settings!$F$5:$F$20,Settings!$G$5:$G$20))</f>
        <v>408.55115207373274</v>
      </c>
      <c r="N4" s="45">
        <f t="shared" si="1"/>
        <v>-408.55115207373274</v>
      </c>
      <c r="O4" s="21"/>
    </row>
    <row r="5" spans="1:15" x14ac:dyDescent="0.2">
      <c r="A5" s="13">
        <v>3</v>
      </c>
      <c r="B5" s="13" t="s">
        <v>371</v>
      </c>
      <c r="C5" s="14">
        <v>44752</v>
      </c>
      <c r="D5" s="15"/>
      <c r="E5" s="13" t="s">
        <v>372</v>
      </c>
      <c r="F5" s="13" t="s">
        <v>365</v>
      </c>
      <c r="G5" s="13" t="s">
        <v>365</v>
      </c>
      <c r="H5" s="13" t="s">
        <v>371</v>
      </c>
      <c r="I5" s="15"/>
      <c r="J5" s="44">
        <v>15000000</v>
      </c>
      <c r="K5" s="44">
        <f t="shared" si="0"/>
        <v>-15000000</v>
      </c>
      <c r="L5" s="44">
        <f>IF(I5=0,0,I5/LOOKUP(C5,Settings!$F$5:$F$20,Settings!$G$5:$G$20))</f>
        <v>0</v>
      </c>
      <c r="M5" s="44">
        <f>IF(J5=0,0,J5/LOOKUP(C5,Settings!$F$5:$F$20,Settings!$G$5:$G$20))</f>
        <v>1382.4884792626729</v>
      </c>
      <c r="N5" s="44">
        <f t="shared" si="1"/>
        <v>-1382.4884792626729</v>
      </c>
      <c r="O5" s="15"/>
    </row>
    <row r="6" spans="1:15" x14ac:dyDescent="0.2">
      <c r="A6" s="19">
        <v>4</v>
      </c>
      <c r="B6" s="19" t="s">
        <v>373</v>
      </c>
      <c r="C6" s="20">
        <v>44757</v>
      </c>
      <c r="D6" s="21"/>
      <c r="E6" s="19" t="s">
        <v>374</v>
      </c>
      <c r="F6" s="19" t="s">
        <v>365</v>
      </c>
      <c r="G6" s="19" t="s">
        <v>365</v>
      </c>
      <c r="H6" s="19" t="s">
        <v>373</v>
      </c>
      <c r="I6" s="21"/>
      <c r="J6" s="45">
        <v>9378610</v>
      </c>
      <c r="K6" s="45">
        <f t="shared" si="0"/>
        <v>-9378610</v>
      </c>
      <c r="L6" s="45">
        <f>IF(I6=0,0,I6/LOOKUP(C6,Settings!$F$5:$F$20,Settings!$G$5:$G$20))</f>
        <v>0</v>
      </c>
      <c r="M6" s="45">
        <f>IF(J6=0,0,J6/LOOKUP(C6,Settings!$F$5:$F$20,Settings!$G$5:$G$20))</f>
        <v>864.3880184331797</v>
      </c>
      <c r="N6" s="45">
        <f t="shared" si="1"/>
        <v>-864.3880184331797</v>
      </c>
      <c r="O6" s="21"/>
    </row>
    <row r="7" spans="1:15" x14ac:dyDescent="0.2">
      <c r="A7" s="13">
        <v>5</v>
      </c>
      <c r="B7" s="13" t="s">
        <v>375</v>
      </c>
      <c r="C7" s="14">
        <v>44757</v>
      </c>
      <c r="D7" s="15"/>
      <c r="E7" s="13" t="s">
        <v>376</v>
      </c>
      <c r="F7" s="13" t="s">
        <v>365</v>
      </c>
      <c r="G7" s="13" t="s">
        <v>365</v>
      </c>
      <c r="H7" s="13" t="s">
        <v>375</v>
      </c>
      <c r="I7" s="15"/>
      <c r="J7" s="44">
        <v>6776176</v>
      </c>
      <c r="K7" s="44">
        <f t="shared" si="0"/>
        <v>-6776176</v>
      </c>
      <c r="L7" s="44">
        <f>IF(I7=0,0,I7/LOOKUP(C7,Settings!$F$5:$F$20,Settings!$G$5:$G$20))</f>
        <v>0</v>
      </c>
      <c r="M7" s="44">
        <f>IF(J7=0,0,J7/LOOKUP(C7,Settings!$F$5:$F$20,Settings!$G$5:$G$20))</f>
        <v>624.53235023041475</v>
      </c>
      <c r="N7" s="44">
        <f t="shared" si="1"/>
        <v>-624.53235023041475</v>
      </c>
      <c r="O7" s="15"/>
    </row>
    <row r="8" spans="1:15" x14ac:dyDescent="0.2">
      <c r="A8" s="19">
        <v>6</v>
      </c>
      <c r="B8" s="19" t="s">
        <v>377</v>
      </c>
      <c r="C8" s="20">
        <v>44762</v>
      </c>
      <c r="D8" s="19" t="s">
        <v>378</v>
      </c>
      <c r="E8" s="21"/>
      <c r="F8" s="19" t="s">
        <v>224</v>
      </c>
      <c r="G8" s="19" t="s">
        <v>222</v>
      </c>
      <c r="H8" s="19" t="s">
        <v>27</v>
      </c>
      <c r="I8" s="21"/>
      <c r="J8" s="45">
        <v>129606840</v>
      </c>
      <c r="K8" s="45">
        <f t="shared" si="0"/>
        <v>-129606840</v>
      </c>
      <c r="L8" s="45">
        <f>IF(I8=0,0,I8/LOOKUP(C8,Settings!$F$5:$F$20,Settings!$G$5:$G$20))</f>
        <v>0</v>
      </c>
      <c r="M8" s="45">
        <f>IF(J8=0,0,J8/LOOKUP(C8,Settings!$F$5:$F$20,Settings!$G$5:$G$20))</f>
        <v>11945.330875576037</v>
      </c>
      <c r="N8" s="45">
        <f t="shared" si="1"/>
        <v>-11945.330875576037</v>
      </c>
      <c r="O8" s="19" t="s">
        <v>379</v>
      </c>
    </row>
    <row r="9" spans="1:15" x14ac:dyDescent="0.2">
      <c r="A9" s="13">
        <v>7</v>
      </c>
      <c r="B9" s="13" t="s">
        <v>380</v>
      </c>
      <c r="C9" s="14">
        <v>44762</v>
      </c>
      <c r="D9" s="15"/>
      <c r="E9" s="13" t="s">
        <v>381</v>
      </c>
      <c r="F9" s="13" t="s">
        <v>382</v>
      </c>
      <c r="G9" s="13" t="s">
        <v>382</v>
      </c>
      <c r="H9" s="13" t="s">
        <v>380</v>
      </c>
      <c r="I9" s="15"/>
      <c r="J9" s="44">
        <v>90859101</v>
      </c>
      <c r="K9" s="44">
        <f t="shared" si="0"/>
        <v>-90859101</v>
      </c>
      <c r="L9" s="44">
        <f>IF(I9=0,0,I9/LOOKUP(C9,Settings!$F$5:$F$20,Settings!$G$5:$G$20))</f>
        <v>0</v>
      </c>
      <c r="M9" s="44">
        <f>IF(J9=0,0,J9/LOOKUP(C9,Settings!$F$5:$F$20,Settings!$G$5:$G$20))</f>
        <v>8374.1106912442392</v>
      </c>
      <c r="N9" s="44">
        <f t="shared" si="1"/>
        <v>-8374.1106912442392</v>
      </c>
      <c r="O9" s="15"/>
    </row>
    <row r="10" spans="1:15" x14ac:dyDescent="0.2">
      <c r="A10" s="19">
        <v>8</v>
      </c>
      <c r="B10" s="19" t="s">
        <v>383</v>
      </c>
      <c r="C10" s="20">
        <v>44770</v>
      </c>
      <c r="D10" s="21"/>
      <c r="E10" s="19" t="s">
        <v>384</v>
      </c>
      <c r="F10" s="19" t="s">
        <v>382</v>
      </c>
      <c r="G10" s="19" t="s">
        <v>382</v>
      </c>
      <c r="H10" s="19" t="s">
        <v>383</v>
      </c>
      <c r="I10" s="21"/>
      <c r="J10" s="45">
        <v>357000000</v>
      </c>
      <c r="K10" s="45">
        <f t="shared" si="0"/>
        <v>-357000000</v>
      </c>
      <c r="L10" s="45">
        <f>IF(I10=0,0,I10/LOOKUP(C10,Settings!$F$5:$F$20,Settings!$G$5:$G$20))</f>
        <v>0</v>
      </c>
      <c r="M10" s="45">
        <f>IF(J10=0,0,J10/LOOKUP(C10,Settings!$F$5:$F$20,Settings!$G$5:$G$20))</f>
        <v>32903.225806451614</v>
      </c>
      <c r="N10" s="45">
        <f t="shared" si="1"/>
        <v>-32903.225806451614</v>
      </c>
      <c r="O10" s="19" t="s">
        <v>385</v>
      </c>
    </row>
    <row r="11" spans="1:15" x14ac:dyDescent="0.2">
      <c r="A11" s="13">
        <v>9</v>
      </c>
      <c r="B11" s="13" t="s">
        <v>386</v>
      </c>
      <c r="C11" s="14">
        <v>44770</v>
      </c>
      <c r="D11" s="15"/>
      <c r="E11" s="13" t="s">
        <v>387</v>
      </c>
      <c r="F11" s="13" t="s">
        <v>382</v>
      </c>
      <c r="G11" s="13" t="s">
        <v>222</v>
      </c>
      <c r="H11" s="13" t="s">
        <v>386</v>
      </c>
      <c r="I11" s="15"/>
      <c r="J11" s="44">
        <v>43629074</v>
      </c>
      <c r="K11" s="44">
        <f t="shared" si="0"/>
        <v>-43629074</v>
      </c>
      <c r="L11" s="44">
        <f>IF(I11=0,0,I11/LOOKUP(C11,Settings!$F$5:$F$20,Settings!$G$5:$G$20))</f>
        <v>0</v>
      </c>
      <c r="M11" s="44">
        <f>IF(J11=0,0,J11/LOOKUP(C11,Settings!$F$5:$F$20,Settings!$G$5:$G$20))</f>
        <v>4021.1128110599079</v>
      </c>
      <c r="N11" s="44">
        <f t="shared" si="1"/>
        <v>-4021.1128110599079</v>
      </c>
      <c r="O11" s="15"/>
    </row>
    <row r="12" spans="1:15" x14ac:dyDescent="0.2">
      <c r="A12" s="19">
        <v>10</v>
      </c>
      <c r="B12" s="19" t="s">
        <v>388</v>
      </c>
      <c r="C12" s="20">
        <v>44783</v>
      </c>
      <c r="D12" s="21"/>
      <c r="E12" s="19" t="s">
        <v>372</v>
      </c>
      <c r="F12" s="19" t="s">
        <v>365</v>
      </c>
      <c r="G12" s="19" t="s">
        <v>365</v>
      </c>
      <c r="H12" s="19" t="s">
        <v>388</v>
      </c>
      <c r="I12" s="21"/>
      <c r="J12" s="45">
        <v>15000000</v>
      </c>
      <c r="K12" s="45">
        <f t="shared" si="0"/>
        <v>-15000000</v>
      </c>
      <c r="L12" s="45">
        <f>IF(I12=0,0,I12/LOOKUP(C12,Settings!$F$5:$F$20,Settings!$G$5:$G$20))</f>
        <v>0</v>
      </c>
      <c r="M12" s="45">
        <f>IF(J12=0,0,J12/LOOKUP(C12,Settings!$F$5:$F$20,Settings!$G$5:$G$20))</f>
        <v>1382.4884792626729</v>
      </c>
      <c r="N12" s="45">
        <f t="shared" si="1"/>
        <v>-1382.4884792626729</v>
      </c>
      <c r="O12" s="21"/>
    </row>
    <row r="13" spans="1:15" x14ac:dyDescent="0.2">
      <c r="A13" s="13">
        <v>11</v>
      </c>
      <c r="B13" s="13" t="s">
        <v>389</v>
      </c>
      <c r="C13" s="14">
        <v>44788</v>
      </c>
      <c r="D13" s="15"/>
      <c r="E13" s="13" t="s">
        <v>374</v>
      </c>
      <c r="F13" s="13" t="s">
        <v>365</v>
      </c>
      <c r="G13" s="13" t="s">
        <v>365</v>
      </c>
      <c r="H13" s="13" t="s">
        <v>389</v>
      </c>
      <c r="I13" s="15"/>
      <c r="J13" s="44">
        <v>7906208</v>
      </c>
      <c r="K13" s="44">
        <f t="shared" si="0"/>
        <v>-7906208</v>
      </c>
      <c r="L13" s="44">
        <f>IF(I13=0,0,I13/LOOKUP(C13,Settings!$F$5:$F$20,Settings!$G$5:$G$20))</f>
        <v>0</v>
      </c>
      <c r="M13" s="44">
        <f>IF(J13=0,0,J13/LOOKUP(C13,Settings!$F$5:$F$20,Settings!$G$5:$G$20))</f>
        <v>728.68276497695854</v>
      </c>
      <c r="N13" s="44">
        <f t="shared" si="1"/>
        <v>-728.68276497695854</v>
      </c>
      <c r="O13" s="15"/>
    </row>
    <row r="14" spans="1:15" x14ac:dyDescent="0.2">
      <c r="A14" s="19">
        <v>12</v>
      </c>
      <c r="B14" s="19" t="s">
        <v>390</v>
      </c>
      <c r="C14" s="20">
        <v>44788</v>
      </c>
      <c r="D14" s="21"/>
      <c r="E14" s="19" t="s">
        <v>376</v>
      </c>
      <c r="F14" s="19" t="s">
        <v>365</v>
      </c>
      <c r="G14" s="19" t="s">
        <v>365</v>
      </c>
      <c r="H14" s="19" t="s">
        <v>390</v>
      </c>
      <c r="I14" s="21"/>
      <c r="J14" s="45">
        <v>6925742</v>
      </c>
      <c r="K14" s="45">
        <f t="shared" si="0"/>
        <v>-6925742</v>
      </c>
      <c r="L14" s="45">
        <f>IF(I14=0,0,I14/LOOKUP(C14,Settings!$F$5:$F$20,Settings!$G$5:$G$20))</f>
        <v>0</v>
      </c>
      <c r="M14" s="45">
        <f>IF(J14=0,0,J14/LOOKUP(C14,Settings!$F$5:$F$20,Settings!$G$5:$G$20))</f>
        <v>638.31723502304146</v>
      </c>
      <c r="N14" s="45">
        <f t="shared" si="1"/>
        <v>-638.31723502304146</v>
      </c>
      <c r="O14" s="21"/>
    </row>
    <row r="15" spans="1:15" x14ac:dyDescent="0.2">
      <c r="A15" s="13">
        <v>13</v>
      </c>
      <c r="B15" s="13" t="s">
        <v>391</v>
      </c>
      <c r="C15" s="14">
        <v>44793</v>
      </c>
      <c r="D15" s="13" t="s">
        <v>392</v>
      </c>
      <c r="E15" s="15"/>
      <c r="F15" s="13" t="s">
        <v>224</v>
      </c>
      <c r="G15" s="13" t="s">
        <v>222</v>
      </c>
      <c r="H15" s="13" t="s">
        <v>38</v>
      </c>
      <c r="I15" s="15"/>
      <c r="J15" s="44">
        <v>264153382</v>
      </c>
      <c r="K15" s="44">
        <f t="shared" si="0"/>
        <v>-264153382</v>
      </c>
      <c r="L15" s="44">
        <f>IF(I15=0,0,I15/LOOKUP(C15,Settings!$F$5:$F$20,Settings!$G$5:$G$20))</f>
        <v>0</v>
      </c>
      <c r="M15" s="44">
        <f>IF(J15=0,0,J15/LOOKUP(C15,Settings!$F$5:$F$20,Settings!$G$5:$G$20))</f>
        <v>24345.933824884793</v>
      </c>
      <c r="N15" s="44">
        <f t="shared" si="1"/>
        <v>-24345.933824884793</v>
      </c>
      <c r="O15" s="13" t="s">
        <v>379</v>
      </c>
    </row>
    <row r="16" spans="1:15" x14ac:dyDescent="0.2">
      <c r="A16" s="19">
        <v>14</v>
      </c>
      <c r="B16" s="19" t="s">
        <v>393</v>
      </c>
      <c r="C16" s="20">
        <v>44793</v>
      </c>
      <c r="D16" s="21"/>
      <c r="E16" s="19" t="s">
        <v>381</v>
      </c>
      <c r="F16" s="19" t="s">
        <v>382</v>
      </c>
      <c r="G16" s="19" t="s">
        <v>382</v>
      </c>
      <c r="H16" s="19" t="s">
        <v>393</v>
      </c>
      <c r="I16" s="21"/>
      <c r="J16" s="45">
        <v>80531880</v>
      </c>
      <c r="K16" s="45">
        <f t="shared" si="0"/>
        <v>-80531880</v>
      </c>
      <c r="L16" s="45">
        <f>IF(I16=0,0,I16/LOOKUP(C16,Settings!$F$5:$F$20,Settings!$G$5:$G$20))</f>
        <v>0</v>
      </c>
      <c r="M16" s="45">
        <f>IF(J16=0,0,J16/LOOKUP(C16,Settings!$F$5:$F$20,Settings!$G$5:$G$20))</f>
        <v>7422.2930875576039</v>
      </c>
      <c r="N16" s="45">
        <f t="shared" si="1"/>
        <v>-7422.2930875576039</v>
      </c>
      <c r="O16" s="21"/>
    </row>
    <row r="17" spans="1:15" x14ac:dyDescent="0.2">
      <c r="A17" s="13">
        <v>15</v>
      </c>
      <c r="B17" s="13" t="s">
        <v>394</v>
      </c>
      <c r="C17" s="14">
        <v>44801</v>
      </c>
      <c r="D17" s="15"/>
      <c r="E17" s="13" t="s">
        <v>384</v>
      </c>
      <c r="F17" s="13" t="s">
        <v>382</v>
      </c>
      <c r="G17" s="13" t="s">
        <v>382</v>
      </c>
      <c r="H17" s="13" t="s">
        <v>394</v>
      </c>
      <c r="I17" s="15"/>
      <c r="J17" s="44">
        <v>357000000</v>
      </c>
      <c r="K17" s="44">
        <f t="shared" si="0"/>
        <v>-357000000</v>
      </c>
      <c r="L17" s="44">
        <f>IF(I17=0,0,I17/LOOKUP(C17,Settings!$F$5:$F$20,Settings!$G$5:$G$20))</f>
        <v>0</v>
      </c>
      <c r="M17" s="44">
        <f>IF(J17=0,0,J17/LOOKUP(C17,Settings!$F$5:$F$20,Settings!$G$5:$G$20))</f>
        <v>32903.225806451614</v>
      </c>
      <c r="N17" s="44">
        <f t="shared" si="1"/>
        <v>-32903.225806451614</v>
      </c>
      <c r="O17" s="13" t="s">
        <v>385</v>
      </c>
    </row>
    <row r="18" spans="1:15" x14ac:dyDescent="0.2">
      <c r="A18" s="19">
        <v>16</v>
      </c>
      <c r="B18" s="19" t="s">
        <v>395</v>
      </c>
      <c r="C18" s="20">
        <v>44801</v>
      </c>
      <c r="D18" s="21"/>
      <c r="E18" s="19" t="s">
        <v>387</v>
      </c>
      <c r="F18" s="19" t="s">
        <v>382</v>
      </c>
      <c r="G18" s="19" t="s">
        <v>222</v>
      </c>
      <c r="H18" s="19" t="s">
        <v>395</v>
      </c>
      <c r="I18" s="21"/>
      <c r="J18" s="45">
        <v>34018230</v>
      </c>
      <c r="K18" s="45">
        <f t="shared" si="0"/>
        <v>-34018230</v>
      </c>
      <c r="L18" s="45">
        <f>IF(I18=0,0,I18/LOOKUP(C18,Settings!$F$5:$F$20,Settings!$G$5:$G$20))</f>
        <v>0</v>
      </c>
      <c r="M18" s="45">
        <f>IF(J18=0,0,J18/LOOKUP(C18,Settings!$F$5:$F$20,Settings!$G$5:$G$20))</f>
        <v>3135.3207373271889</v>
      </c>
      <c r="N18" s="45">
        <f t="shared" si="1"/>
        <v>-3135.3207373271889</v>
      </c>
      <c r="O18" s="21"/>
    </row>
    <row r="19" spans="1:15" x14ac:dyDescent="0.2">
      <c r="A19" s="13">
        <v>17</v>
      </c>
      <c r="B19" s="13" t="s">
        <v>396</v>
      </c>
      <c r="C19" s="14">
        <v>44814</v>
      </c>
      <c r="D19" s="15"/>
      <c r="E19" s="13" t="s">
        <v>372</v>
      </c>
      <c r="F19" s="13" t="s">
        <v>365</v>
      </c>
      <c r="G19" s="13" t="s">
        <v>365</v>
      </c>
      <c r="H19" s="13" t="s">
        <v>396</v>
      </c>
      <c r="I19" s="15"/>
      <c r="J19" s="44">
        <v>15000000</v>
      </c>
      <c r="K19" s="44">
        <f t="shared" si="0"/>
        <v>-15000000</v>
      </c>
      <c r="L19" s="44">
        <f>IF(I19=0,0,I19/LOOKUP(C19,Settings!$F$5:$F$20,Settings!$G$5:$G$20))</f>
        <v>0</v>
      </c>
      <c r="M19" s="44">
        <f>IF(J19=0,0,J19/LOOKUP(C19,Settings!$F$5:$F$20,Settings!$G$5:$G$20))</f>
        <v>1382.4884792626729</v>
      </c>
      <c r="N19" s="44">
        <f t="shared" si="1"/>
        <v>-1382.4884792626729</v>
      </c>
      <c r="O19" s="15"/>
    </row>
    <row r="20" spans="1:15" x14ac:dyDescent="0.2">
      <c r="A20" s="19">
        <v>18</v>
      </c>
      <c r="B20" s="19" t="s">
        <v>397</v>
      </c>
      <c r="C20" s="20">
        <v>44819</v>
      </c>
      <c r="D20" s="21"/>
      <c r="E20" s="19" t="s">
        <v>374</v>
      </c>
      <c r="F20" s="19" t="s">
        <v>365</v>
      </c>
      <c r="G20" s="19" t="s">
        <v>365</v>
      </c>
      <c r="H20" s="19" t="s">
        <v>397</v>
      </c>
      <c r="I20" s="21"/>
      <c r="J20" s="45">
        <v>7113355</v>
      </c>
      <c r="K20" s="45">
        <f t="shared" si="0"/>
        <v>-7113355</v>
      </c>
      <c r="L20" s="45">
        <f>IF(I20=0,0,I20/LOOKUP(C20,Settings!$F$5:$F$20,Settings!$G$5:$G$20))</f>
        <v>0</v>
      </c>
      <c r="M20" s="45">
        <f>IF(J20=0,0,J20/LOOKUP(C20,Settings!$F$5:$F$20,Settings!$G$5:$G$20))</f>
        <v>655.60875576036869</v>
      </c>
      <c r="N20" s="45">
        <f t="shared" si="1"/>
        <v>-655.60875576036869</v>
      </c>
      <c r="O20" s="21"/>
    </row>
    <row r="21" spans="1:15" x14ac:dyDescent="0.2">
      <c r="A21" s="13">
        <v>19</v>
      </c>
      <c r="B21" s="13" t="s">
        <v>398</v>
      </c>
      <c r="C21" s="14">
        <v>44819</v>
      </c>
      <c r="D21" s="15"/>
      <c r="E21" s="13" t="s">
        <v>376</v>
      </c>
      <c r="F21" s="13" t="s">
        <v>365</v>
      </c>
      <c r="G21" s="13" t="s">
        <v>365</v>
      </c>
      <c r="H21" s="13" t="s">
        <v>398</v>
      </c>
      <c r="I21" s="15"/>
      <c r="J21" s="44">
        <v>5495781</v>
      </c>
      <c r="K21" s="44">
        <f t="shared" si="0"/>
        <v>-5495781</v>
      </c>
      <c r="L21" s="44">
        <f>IF(I21=0,0,I21/LOOKUP(C21,Settings!$F$5:$F$20,Settings!$G$5:$G$20))</f>
        <v>0</v>
      </c>
      <c r="M21" s="44">
        <f>IF(J21=0,0,J21/LOOKUP(C21,Settings!$F$5:$F$20,Settings!$G$5:$G$20))</f>
        <v>506.52359447004608</v>
      </c>
      <c r="N21" s="44">
        <f t="shared" si="1"/>
        <v>-506.52359447004608</v>
      </c>
      <c r="O21" s="15"/>
    </row>
    <row r="22" spans="1:15" x14ac:dyDescent="0.2">
      <c r="A22" s="19">
        <v>20</v>
      </c>
      <c r="B22" s="19" t="s">
        <v>399</v>
      </c>
      <c r="C22" s="20">
        <v>44824</v>
      </c>
      <c r="D22" s="21"/>
      <c r="E22" s="19" t="s">
        <v>381</v>
      </c>
      <c r="F22" s="19" t="s">
        <v>382</v>
      </c>
      <c r="G22" s="19" t="s">
        <v>382</v>
      </c>
      <c r="H22" s="19" t="s">
        <v>399</v>
      </c>
      <c r="I22" s="21"/>
      <c r="J22" s="45">
        <v>88422328</v>
      </c>
      <c r="K22" s="45">
        <f t="shared" si="0"/>
        <v>-88422328</v>
      </c>
      <c r="L22" s="45">
        <f>IF(I22=0,0,I22/LOOKUP(C22,Settings!$F$5:$F$20,Settings!$G$5:$G$20))</f>
        <v>0</v>
      </c>
      <c r="M22" s="45">
        <f>IF(J22=0,0,J22/LOOKUP(C22,Settings!$F$5:$F$20,Settings!$G$5:$G$20))</f>
        <v>8149.52331797235</v>
      </c>
      <c r="N22" s="45">
        <f t="shared" si="1"/>
        <v>-8149.52331797235</v>
      </c>
      <c r="O22" s="21"/>
    </row>
    <row r="23" spans="1:15" x14ac:dyDescent="0.2">
      <c r="A23" s="13">
        <v>21</v>
      </c>
      <c r="B23" s="13" t="s">
        <v>400</v>
      </c>
      <c r="C23" s="14">
        <v>44832</v>
      </c>
      <c r="D23" s="15"/>
      <c r="E23" s="13" t="s">
        <v>384</v>
      </c>
      <c r="F23" s="13" t="s">
        <v>382</v>
      </c>
      <c r="G23" s="13" t="s">
        <v>382</v>
      </c>
      <c r="H23" s="13" t="s">
        <v>400</v>
      </c>
      <c r="I23" s="15"/>
      <c r="J23" s="44">
        <v>357000000</v>
      </c>
      <c r="K23" s="44">
        <f t="shared" si="0"/>
        <v>-357000000</v>
      </c>
      <c r="L23" s="44">
        <f>IF(I23=0,0,I23/LOOKUP(C23,Settings!$F$5:$F$20,Settings!$G$5:$G$20))</f>
        <v>0</v>
      </c>
      <c r="M23" s="44">
        <f>IF(J23=0,0,J23/LOOKUP(C23,Settings!$F$5:$F$20,Settings!$G$5:$G$20))</f>
        <v>32903.225806451614</v>
      </c>
      <c r="N23" s="44">
        <f t="shared" si="1"/>
        <v>-32903.225806451614</v>
      </c>
      <c r="O23" s="13" t="s">
        <v>385</v>
      </c>
    </row>
    <row r="24" spans="1:15" x14ac:dyDescent="0.2">
      <c r="A24" s="19">
        <v>22</v>
      </c>
      <c r="B24" s="19" t="s">
        <v>401</v>
      </c>
      <c r="C24" s="20">
        <v>44832</v>
      </c>
      <c r="D24" s="21"/>
      <c r="E24" s="19" t="s">
        <v>387</v>
      </c>
      <c r="F24" s="19" t="s">
        <v>382</v>
      </c>
      <c r="G24" s="19" t="s">
        <v>222</v>
      </c>
      <c r="H24" s="19" t="s">
        <v>401</v>
      </c>
      <c r="I24" s="21"/>
      <c r="J24" s="45">
        <v>61285829</v>
      </c>
      <c r="K24" s="45">
        <f t="shared" si="0"/>
        <v>-61285829</v>
      </c>
      <c r="L24" s="45">
        <f>IF(I24=0,0,I24/LOOKUP(C24,Settings!$F$5:$F$20,Settings!$G$5:$G$20))</f>
        <v>0</v>
      </c>
      <c r="M24" s="45">
        <f>IF(J24=0,0,J24/LOOKUP(C24,Settings!$F$5:$F$20,Settings!$G$5:$G$20))</f>
        <v>5648.4635023041474</v>
      </c>
      <c r="N24" s="45">
        <f t="shared" si="1"/>
        <v>-5648.4635023041474</v>
      </c>
      <c r="O24" s="21"/>
    </row>
    <row r="25" spans="1:15" x14ac:dyDescent="0.2">
      <c r="A25" s="13">
        <v>23</v>
      </c>
      <c r="B25" s="13" t="s">
        <v>402</v>
      </c>
      <c r="C25" s="14">
        <v>44844</v>
      </c>
      <c r="D25" s="15"/>
      <c r="E25" s="13" t="s">
        <v>372</v>
      </c>
      <c r="F25" s="13" t="s">
        <v>365</v>
      </c>
      <c r="G25" s="13" t="s">
        <v>365</v>
      </c>
      <c r="H25" s="13" t="s">
        <v>402</v>
      </c>
      <c r="I25" s="15"/>
      <c r="J25" s="44">
        <v>15000000</v>
      </c>
      <c r="K25" s="44">
        <f t="shared" si="0"/>
        <v>-15000000</v>
      </c>
      <c r="L25" s="44">
        <f>IF(I25=0,0,I25/LOOKUP(C25,Settings!$F$5:$F$20,Settings!$G$5:$G$20))</f>
        <v>0</v>
      </c>
      <c r="M25" s="44">
        <f>IF(J25=0,0,J25/LOOKUP(C25,Settings!$F$5:$F$20,Settings!$G$5:$G$20))</f>
        <v>1357.4660633484164</v>
      </c>
      <c r="N25" s="44">
        <f t="shared" si="1"/>
        <v>-1357.4660633484164</v>
      </c>
      <c r="O25" s="15"/>
    </row>
    <row r="26" spans="1:15" x14ac:dyDescent="0.2">
      <c r="A26" s="19">
        <v>24</v>
      </c>
      <c r="B26" s="19" t="s">
        <v>403</v>
      </c>
      <c r="C26" s="20">
        <v>44849</v>
      </c>
      <c r="D26" s="21"/>
      <c r="E26" s="19" t="s">
        <v>374</v>
      </c>
      <c r="F26" s="19" t="s">
        <v>365</v>
      </c>
      <c r="G26" s="19" t="s">
        <v>365</v>
      </c>
      <c r="H26" s="19" t="s">
        <v>403</v>
      </c>
      <c r="I26" s="21"/>
      <c r="J26" s="45">
        <v>8030098</v>
      </c>
      <c r="K26" s="45">
        <f t="shared" si="0"/>
        <v>-8030098</v>
      </c>
      <c r="L26" s="45">
        <f>IF(I26=0,0,I26/LOOKUP(C26,Settings!$F$5:$F$20,Settings!$G$5:$G$20))</f>
        <v>0</v>
      </c>
      <c r="M26" s="45">
        <f>IF(J26=0,0,J26/LOOKUP(C26,Settings!$F$5:$F$20,Settings!$G$5:$G$20))</f>
        <v>726.70570135746607</v>
      </c>
      <c r="N26" s="45">
        <f t="shared" si="1"/>
        <v>-726.70570135746607</v>
      </c>
      <c r="O26" s="21"/>
    </row>
    <row r="27" spans="1:15" x14ac:dyDescent="0.2">
      <c r="A27" s="13">
        <v>25</v>
      </c>
      <c r="B27" s="13" t="s">
        <v>404</v>
      </c>
      <c r="C27" s="14">
        <v>44849</v>
      </c>
      <c r="D27" s="15"/>
      <c r="E27" s="13" t="s">
        <v>376</v>
      </c>
      <c r="F27" s="13" t="s">
        <v>365</v>
      </c>
      <c r="G27" s="13" t="s">
        <v>365</v>
      </c>
      <c r="H27" s="13" t="s">
        <v>404</v>
      </c>
      <c r="I27" s="15"/>
      <c r="J27" s="44">
        <v>6720068</v>
      </c>
      <c r="K27" s="44">
        <f t="shared" si="0"/>
        <v>-6720068</v>
      </c>
      <c r="L27" s="44">
        <f>IF(I27=0,0,I27/LOOKUP(C27,Settings!$F$5:$F$20,Settings!$G$5:$G$20))</f>
        <v>0</v>
      </c>
      <c r="M27" s="44">
        <f>IF(J27=0,0,J27/LOOKUP(C27,Settings!$F$5:$F$20,Settings!$G$5:$G$20))</f>
        <v>608.15095022624439</v>
      </c>
      <c r="N27" s="44">
        <f t="shared" si="1"/>
        <v>-608.15095022624439</v>
      </c>
      <c r="O27" s="15"/>
    </row>
    <row r="28" spans="1:15" x14ac:dyDescent="0.2">
      <c r="A28" s="19">
        <v>26</v>
      </c>
      <c r="B28" s="19" t="s">
        <v>405</v>
      </c>
      <c r="C28" s="20">
        <v>44854</v>
      </c>
      <c r="D28" s="19" t="s">
        <v>406</v>
      </c>
      <c r="E28" s="21"/>
      <c r="F28" s="19" t="s">
        <v>224</v>
      </c>
      <c r="G28" s="19" t="s">
        <v>222</v>
      </c>
      <c r="H28" s="19" t="s">
        <v>47</v>
      </c>
      <c r="I28" s="21"/>
      <c r="J28" s="45">
        <v>102012349</v>
      </c>
      <c r="K28" s="45">
        <f t="shared" si="0"/>
        <v>-102012349</v>
      </c>
      <c r="L28" s="45">
        <f>IF(I28=0,0,I28/LOOKUP(C28,Settings!$F$5:$F$20,Settings!$G$5:$G$20))</f>
        <v>0</v>
      </c>
      <c r="M28" s="45">
        <f>IF(J28=0,0,J28/LOOKUP(C28,Settings!$F$5:$F$20,Settings!$G$5:$G$20))</f>
        <v>9231.886787330317</v>
      </c>
      <c r="N28" s="45">
        <f t="shared" si="1"/>
        <v>-9231.886787330317</v>
      </c>
      <c r="O28" s="19" t="s">
        <v>379</v>
      </c>
    </row>
    <row r="29" spans="1:15" x14ac:dyDescent="0.2">
      <c r="A29" s="13">
        <v>27</v>
      </c>
      <c r="B29" s="13" t="s">
        <v>407</v>
      </c>
      <c r="C29" s="14">
        <v>44854</v>
      </c>
      <c r="D29" s="15"/>
      <c r="E29" s="13" t="s">
        <v>381</v>
      </c>
      <c r="F29" s="13" t="s">
        <v>382</v>
      </c>
      <c r="G29" s="13" t="s">
        <v>382</v>
      </c>
      <c r="H29" s="13" t="s">
        <v>407</v>
      </c>
      <c r="I29" s="15"/>
      <c r="J29" s="44">
        <v>88756222</v>
      </c>
      <c r="K29" s="44">
        <f t="shared" si="0"/>
        <v>-88756222</v>
      </c>
      <c r="L29" s="44">
        <f>IF(I29=0,0,I29/LOOKUP(C29,Settings!$F$5:$F$20,Settings!$G$5:$G$20))</f>
        <v>0</v>
      </c>
      <c r="M29" s="44">
        <f>IF(J29=0,0,J29/LOOKUP(C29,Settings!$F$5:$F$20,Settings!$G$5:$G$20))</f>
        <v>8032.237285067873</v>
      </c>
      <c r="N29" s="44">
        <f t="shared" si="1"/>
        <v>-8032.237285067873</v>
      </c>
      <c r="O29" s="15"/>
    </row>
    <row r="30" spans="1:15" x14ac:dyDescent="0.2">
      <c r="A30" s="19">
        <v>28</v>
      </c>
      <c r="B30" s="19" t="s">
        <v>408</v>
      </c>
      <c r="C30" s="20">
        <v>44862</v>
      </c>
      <c r="D30" s="21"/>
      <c r="E30" s="19" t="s">
        <v>384</v>
      </c>
      <c r="F30" s="19" t="s">
        <v>382</v>
      </c>
      <c r="G30" s="19" t="s">
        <v>382</v>
      </c>
      <c r="H30" s="19" t="s">
        <v>408</v>
      </c>
      <c r="I30" s="21"/>
      <c r="J30" s="45">
        <v>357000000</v>
      </c>
      <c r="K30" s="45">
        <f t="shared" si="0"/>
        <v>-357000000</v>
      </c>
      <c r="L30" s="45">
        <f>IF(I30=0,0,I30/LOOKUP(C30,Settings!$F$5:$F$20,Settings!$G$5:$G$20))</f>
        <v>0</v>
      </c>
      <c r="M30" s="45">
        <f>IF(J30=0,0,J30/LOOKUP(C30,Settings!$F$5:$F$20,Settings!$G$5:$G$20))</f>
        <v>32307.692307692309</v>
      </c>
      <c r="N30" s="45">
        <f t="shared" si="1"/>
        <v>-32307.692307692309</v>
      </c>
      <c r="O30" s="19" t="s">
        <v>385</v>
      </c>
    </row>
    <row r="31" spans="1:15" x14ac:dyDescent="0.2">
      <c r="A31" s="13">
        <v>29</v>
      </c>
      <c r="B31" s="13" t="s">
        <v>409</v>
      </c>
      <c r="C31" s="14">
        <v>44862</v>
      </c>
      <c r="D31" s="15"/>
      <c r="E31" s="13" t="s">
        <v>387</v>
      </c>
      <c r="F31" s="13" t="s">
        <v>382</v>
      </c>
      <c r="G31" s="13" t="s">
        <v>222</v>
      </c>
      <c r="H31" s="13" t="s">
        <v>409</v>
      </c>
      <c r="I31" s="15"/>
      <c r="J31" s="44">
        <v>44250035</v>
      </c>
      <c r="K31" s="44">
        <f t="shared" si="0"/>
        <v>-44250035</v>
      </c>
      <c r="L31" s="44">
        <f>IF(I31=0,0,I31/LOOKUP(C31,Settings!$F$5:$F$20,Settings!$G$5:$G$20))</f>
        <v>0</v>
      </c>
      <c r="M31" s="44">
        <f>IF(J31=0,0,J31/LOOKUP(C31,Settings!$F$5:$F$20,Settings!$G$5:$G$20))</f>
        <v>4004.5280542986425</v>
      </c>
      <c r="N31" s="44">
        <f t="shared" si="1"/>
        <v>-4004.5280542986425</v>
      </c>
      <c r="O31" s="15"/>
    </row>
    <row r="32" spans="1:15" x14ac:dyDescent="0.2">
      <c r="A32" s="19">
        <v>30</v>
      </c>
      <c r="B32" s="19" t="s">
        <v>410</v>
      </c>
      <c r="C32" s="20">
        <v>44867</v>
      </c>
      <c r="D32" s="21"/>
      <c r="E32" s="19" t="s">
        <v>368</v>
      </c>
      <c r="F32" s="19" t="s">
        <v>369</v>
      </c>
      <c r="G32" s="19" t="s">
        <v>370</v>
      </c>
      <c r="H32" s="19" t="s">
        <v>410</v>
      </c>
      <c r="I32" s="21"/>
      <c r="J32" s="45">
        <v>3975622</v>
      </c>
      <c r="K32" s="45">
        <f t="shared" si="0"/>
        <v>-3975622</v>
      </c>
      <c r="L32" s="45">
        <f>IF(I32=0,0,I32/LOOKUP(C32,Settings!$F$5:$F$20,Settings!$G$5:$G$20))</f>
        <v>0</v>
      </c>
      <c r="M32" s="45">
        <f>IF(J32=0,0,J32/LOOKUP(C32,Settings!$F$5:$F$20,Settings!$G$5:$G$20))</f>
        <v>359.78479638009048</v>
      </c>
      <c r="N32" s="45">
        <f t="shared" si="1"/>
        <v>-359.78479638009048</v>
      </c>
      <c r="O32" s="21"/>
    </row>
    <row r="33" spans="1:15" x14ac:dyDescent="0.2">
      <c r="A33" s="13">
        <v>31</v>
      </c>
      <c r="B33" s="13" t="s">
        <v>411</v>
      </c>
      <c r="C33" s="14">
        <v>44875</v>
      </c>
      <c r="D33" s="15"/>
      <c r="E33" s="13" t="s">
        <v>372</v>
      </c>
      <c r="F33" s="13" t="s">
        <v>365</v>
      </c>
      <c r="G33" s="13" t="s">
        <v>365</v>
      </c>
      <c r="H33" s="13" t="s">
        <v>411</v>
      </c>
      <c r="I33" s="15"/>
      <c r="J33" s="44">
        <v>15000000</v>
      </c>
      <c r="K33" s="44">
        <f t="shared" si="0"/>
        <v>-15000000</v>
      </c>
      <c r="L33" s="44">
        <f>IF(I33=0,0,I33/LOOKUP(C33,Settings!$F$5:$F$20,Settings!$G$5:$G$20))</f>
        <v>0</v>
      </c>
      <c r="M33" s="44">
        <f>IF(J33=0,0,J33/LOOKUP(C33,Settings!$F$5:$F$20,Settings!$G$5:$G$20))</f>
        <v>1357.4660633484164</v>
      </c>
      <c r="N33" s="44">
        <f t="shared" si="1"/>
        <v>-1357.4660633484164</v>
      </c>
      <c r="O33" s="15"/>
    </row>
    <row r="34" spans="1:15" x14ac:dyDescent="0.2">
      <c r="A34" s="19">
        <v>32</v>
      </c>
      <c r="B34" s="19" t="s">
        <v>412</v>
      </c>
      <c r="C34" s="20">
        <v>44880</v>
      </c>
      <c r="D34" s="21"/>
      <c r="E34" s="19" t="s">
        <v>374</v>
      </c>
      <c r="F34" s="19" t="s">
        <v>365</v>
      </c>
      <c r="G34" s="19" t="s">
        <v>365</v>
      </c>
      <c r="H34" s="19" t="s">
        <v>412</v>
      </c>
      <c r="I34" s="21"/>
      <c r="J34" s="45">
        <v>9206522</v>
      </c>
      <c r="K34" s="45">
        <f t="shared" si="0"/>
        <v>-9206522</v>
      </c>
      <c r="L34" s="45">
        <f>IF(I34=0,0,I34/LOOKUP(C34,Settings!$F$5:$F$20,Settings!$G$5:$G$20))</f>
        <v>0</v>
      </c>
      <c r="M34" s="45">
        <f>IF(J34=0,0,J34/LOOKUP(C34,Settings!$F$5:$F$20,Settings!$G$5:$G$20))</f>
        <v>833.16941176470584</v>
      </c>
      <c r="N34" s="45">
        <f t="shared" si="1"/>
        <v>-833.16941176470584</v>
      </c>
      <c r="O34" s="21"/>
    </row>
    <row r="35" spans="1:15" x14ac:dyDescent="0.2">
      <c r="A35" s="13">
        <v>33</v>
      </c>
      <c r="B35" s="13" t="s">
        <v>413</v>
      </c>
      <c r="C35" s="14">
        <v>44880</v>
      </c>
      <c r="D35" s="15"/>
      <c r="E35" s="13" t="s">
        <v>376</v>
      </c>
      <c r="F35" s="13" t="s">
        <v>365</v>
      </c>
      <c r="G35" s="13" t="s">
        <v>365</v>
      </c>
      <c r="H35" s="13" t="s">
        <v>413</v>
      </c>
      <c r="I35" s="15"/>
      <c r="J35" s="44">
        <v>5996621</v>
      </c>
      <c r="K35" s="44">
        <f t="shared" si="0"/>
        <v>-5996621</v>
      </c>
      <c r="L35" s="44">
        <f>IF(I35=0,0,I35/LOOKUP(C35,Settings!$F$5:$F$20,Settings!$G$5:$G$20))</f>
        <v>0</v>
      </c>
      <c r="M35" s="44">
        <f>IF(J35=0,0,J35/LOOKUP(C35,Settings!$F$5:$F$20,Settings!$G$5:$G$20))</f>
        <v>542.68063348416285</v>
      </c>
      <c r="N35" s="44">
        <f t="shared" si="1"/>
        <v>-542.68063348416285</v>
      </c>
      <c r="O35" s="15"/>
    </row>
    <row r="36" spans="1:15" x14ac:dyDescent="0.2">
      <c r="A36" s="19">
        <v>34</v>
      </c>
      <c r="B36" s="19" t="s">
        <v>414</v>
      </c>
      <c r="C36" s="20">
        <v>44885</v>
      </c>
      <c r="D36" s="21"/>
      <c r="E36" s="19" t="s">
        <v>381</v>
      </c>
      <c r="F36" s="19" t="s">
        <v>382</v>
      </c>
      <c r="G36" s="19" t="s">
        <v>382</v>
      </c>
      <c r="H36" s="19" t="s">
        <v>414</v>
      </c>
      <c r="I36" s="21"/>
      <c r="J36" s="45">
        <v>81588183</v>
      </c>
      <c r="K36" s="45">
        <f t="shared" si="0"/>
        <v>-81588183</v>
      </c>
      <c r="L36" s="45">
        <f>IF(I36=0,0,I36/LOOKUP(C36,Settings!$F$5:$F$20,Settings!$G$5:$G$20))</f>
        <v>0</v>
      </c>
      <c r="M36" s="45">
        <f>IF(J36=0,0,J36/LOOKUP(C36,Settings!$F$5:$F$20,Settings!$G$5:$G$20))</f>
        <v>7383.5459728506785</v>
      </c>
      <c r="N36" s="45">
        <f t="shared" si="1"/>
        <v>-7383.5459728506785</v>
      </c>
      <c r="O36" s="21"/>
    </row>
    <row r="37" spans="1:15" x14ac:dyDescent="0.2">
      <c r="A37" s="13">
        <v>35</v>
      </c>
      <c r="B37" s="13" t="s">
        <v>415</v>
      </c>
      <c r="C37" s="14">
        <v>44893</v>
      </c>
      <c r="D37" s="15"/>
      <c r="E37" s="13" t="s">
        <v>384</v>
      </c>
      <c r="F37" s="13" t="s">
        <v>382</v>
      </c>
      <c r="G37" s="13" t="s">
        <v>382</v>
      </c>
      <c r="H37" s="13" t="s">
        <v>415</v>
      </c>
      <c r="I37" s="15"/>
      <c r="J37" s="44">
        <v>357000000</v>
      </c>
      <c r="K37" s="44">
        <f t="shared" si="0"/>
        <v>-357000000</v>
      </c>
      <c r="L37" s="44">
        <f>IF(I37=0,0,I37/LOOKUP(C37,Settings!$F$5:$F$20,Settings!$G$5:$G$20))</f>
        <v>0</v>
      </c>
      <c r="M37" s="44">
        <f>IF(J37=0,0,J37/LOOKUP(C37,Settings!$F$5:$F$20,Settings!$G$5:$G$20))</f>
        <v>32307.692307692309</v>
      </c>
      <c r="N37" s="44">
        <f t="shared" si="1"/>
        <v>-32307.692307692309</v>
      </c>
      <c r="O37" s="13" t="s">
        <v>385</v>
      </c>
    </row>
    <row r="38" spans="1:15" x14ac:dyDescent="0.2">
      <c r="A38" s="19">
        <v>36</v>
      </c>
      <c r="B38" s="19" t="s">
        <v>416</v>
      </c>
      <c r="C38" s="20">
        <v>44905</v>
      </c>
      <c r="D38" s="21"/>
      <c r="E38" s="19" t="s">
        <v>372</v>
      </c>
      <c r="F38" s="19" t="s">
        <v>365</v>
      </c>
      <c r="G38" s="19" t="s">
        <v>365</v>
      </c>
      <c r="H38" s="19" t="s">
        <v>416</v>
      </c>
      <c r="I38" s="21"/>
      <c r="J38" s="45">
        <v>15000000</v>
      </c>
      <c r="K38" s="45">
        <f t="shared" si="0"/>
        <v>-15000000</v>
      </c>
      <c r="L38" s="45">
        <f>IF(I38=0,0,I38/LOOKUP(C38,Settings!$F$5:$F$20,Settings!$G$5:$G$20))</f>
        <v>0</v>
      </c>
      <c r="M38" s="45">
        <f>IF(J38=0,0,J38/LOOKUP(C38,Settings!$F$5:$F$20,Settings!$G$5:$G$20))</f>
        <v>1357.4660633484164</v>
      </c>
      <c r="N38" s="45">
        <f t="shared" si="1"/>
        <v>-1357.4660633484164</v>
      </c>
      <c r="O38" s="21"/>
    </row>
    <row r="39" spans="1:15" x14ac:dyDescent="0.2">
      <c r="A39" s="13">
        <v>37</v>
      </c>
      <c r="B39" s="13" t="s">
        <v>417</v>
      </c>
      <c r="C39" s="14">
        <v>44910</v>
      </c>
      <c r="D39" s="15"/>
      <c r="E39" s="13" t="s">
        <v>374</v>
      </c>
      <c r="F39" s="13" t="s">
        <v>365</v>
      </c>
      <c r="G39" s="13" t="s">
        <v>365</v>
      </c>
      <c r="H39" s="13" t="s">
        <v>417</v>
      </c>
      <c r="I39" s="15"/>
      <c r="J39" s="44">
        <v>8339868</v>
      </c>
      <c r="K39" s="44">
        <f t="shared" si="0"/>
        <v>-8339868</v>
      </c>
      <c r="L39" s="44">
        <f>IF(I39=0,0,I39/LOOKUP(C39,Settings!$F$5:$F$20,Settings!$G$5:$G$20))</f>
        <v>0</v>
      </c>
      <c r="M39" s="44">
        <f>IF(J39=0,0,J39/LOOKUP(C39,Settings!$F$5:$F$20,Settings!$G$5:$G$20))</f>
        <v>754.73918552036196</v>
      </c>
      <c r="N39" s="44">
        <f t="shared" si="1"/>
        <v>-754.73918552036196</v>
      </c>
      <c r="O39" s="15"/>
    </row>
    <row r="40" spans="1:15" x14ac:dyDescent="0.2">
      <c r="A40" s="19">
        <v>38</v>
      </c>
      <c r="B40" s="19" t="s">
        <v>418</v>
      </c>
      <c r="C40" s="20">
        <v>44910</v>
      </c>
      <c r="D40" s="21"/>
      <c r="E40" s="19" t="s">
        <v>376</v>
      </c>
      <c r="F40" s="19" t="s">
        <v>365</v>
      </c>
      <c r="G40" s="19" t="s">
        <v>365</v>
      </c>
      <c r="H40" s="19" t="s">
        <v>418</v>
      </c>
      <c r="I40" s="21"/>
      <c r="J40" s="45">
        <v>5459287</v>
      </c>
      <c r="K40" s="45">
        <f t="shared" si="0"/>
        <v>-5459287</v>
      </c>
      <c r="L40" s="45">
        <f>IF(I40=0,0,I40/LOOKUP(C40,Settings!$F$5:$F$20,Settings!$G$5:$G$20))</f>
        <v>0</v>
      </c>
      <c r="M40" s="45">
        <f>IF(J40=0,0,J40/LOOKUP(C40,Settings!$F$5:$F$20,Settings!$G$5:$G$20))</f>
        <v>494.05312217194569</v>
      </c>
      <c r="N40" s="45">
        <f t="shared" si="1"/>
        <v>-494.05312217194569</v>
      </c>
      <c r="O40" s="21"/>
    </row>
    <row r="41" spans="1:15" x14ac:dyDescent="0.2">
      <c r="A41" s="13">
        <v>39</v>
      </c>
      <c r="B41" s="13" t="s">
        <v>419</v>
      </c>
      <c r="C41" s="14">
        <v>44915</v>
      </c>
      <c r="D41" s="13" t="s">
        <v>420</v>
      </c>
      <c r="E41" s="15"/>
      <c r="F41" s="13" t="s">
        <v>224</v>
      </c>
      <c r="G41" s="13" t="s">
        <v>222</v>
      </c>
      <c r="H41" s="13" t="s">
        <v>55</v>
      </c>
      <c r="I41" s="15"/>
      <c r="J41" s="44">
        <v>81251677</v>
      </c>
      <c r="K41" s="44">
        <f t="shared" si="0"/>
        <v>-81251677</v>
      </c>
      <c r="L41" s="44">
        <f>IF(I41=0,0,I41/LOOKUP(C41,Settings!$F$5:$F$20,Settings!$G$5:$G$20))</f>
        <v>0</v>
      </c>
      <c r="M41" s="44">
        <f>IF(J41=0,0,J41/LOOKUP(C41,Settings!$F$5:$F$20,Settings!$G$5:$G$20))</f>
        <v>7353.092941176471</v>
      </c>
      <c r="N41" s="44">
        <f t="shared" si="1"/>
        <v>-7353.092941176471</v>
      </c>
      <c r="O41" s="13" t="s">
        <v>379</v>
      </c>
    </row>
    <row r="42" spans="1:15" x14ac:dyDescent="0.2">
      <c r="A42" s="19">
        <v>40</v>
      </c>
      <c r="B42" s="19" t="s">
        <v>421</v>
      </c>
      <c r="C42" s="20">
        <v>44915</v>
      </c>
      <c r="D42" s="21"/>
      <c r="E42" s="19" t="s">
        <v>381</v>
      </c>
      <c r="F42" s="19" t="s">
        <v>382</v>
      </c>
      <c r="G42" s="19" t="s">
        <v>382</v>
      </c>
      <c r="H42" s="19" t="s">
        <v>421</v>
      </c>
      <c r="I42" s="21"/>
      <c r="J42" s="45">
        <v>85875745</v>
      </c>
      <c r="K42" s="45">
        <f t="shared" si="0"/>
        <v>-85875745</v>
      </c>
      <c r="L42" s="45">
        <f>IF(I42=0,0,I42/LOOKUP(C42,Settings!$F$5:$F$20,Settings!$G$5:$G$20))</f>
        <v>0</v>
      </c>
      <c r="M42" s="45">
        <f>IF(J42=0,0,J42/LOOKUP(C42,Settings!$F$5:$F$20,Settings!$G$5:$G$20))</f>
        <v>7771.5606334841632</v>
      </c>
      <c r="N42" s="45">
        <f t="shared" si="1"/>
        <v>-7771.5606334841632</v>
      </c>
      <c r="O42" s="21"/>
    </row>
    <row r="43" spans="1:15" x14ac:dyDescent="0.2">
      <c r="A43" s="13">
        <v>41</v>
      </c>
      <c r="B43" s="13" t="s">
        <v>422</v>
      </c>
      <c r="C43" s="14">
        <v>44923</v>
      </c>
      <c r="D43" s="15"/>
      <c r="E43" s="13" t="s">
        <v>384</v>
      </c>
      <c r="F43" s="13" t="s">
        <v>382</v>
      </c>
      <c r="G43" s="13" t="s">
        <v>382</v>
      </c>
      <c r="H43" s="13" t="s">
        <v>422</v>
      </c>
      <c r="I43" s="15"/>
      <c r="J43" s="44">
        <v>357000000</v>
      </c>
      <c r="K43" s="44">
        <f t="shared" si="0"/>
        <v>-357000000</v>
      </c>
      <c r="L43" s="44">
        <f>IF(I43=0,0,I43/LOOKUP(C43,Settings!$F$5:$F$20,Settings!$G$5:$G$20))</f>
        <v>0</v>
      </c>
      <c r="M43" s="44">
        <f>IF(J43=0,0,J43/LOOKUP(C43,Settings!$F$5:$F$20,Settings!$G$5:$G$20))</f>
        <v>32307.692307692309</v>
      </c>
      <c r="N43" s="44">
        <f t="shared" si="1"/>
        <v>-32307.692307692309</v>
      </c>
      <c r="O43" s="13" t="s">
        <v>385</v>
      </c>
    </row>
    <row r="44" spans="1:15" x14ac:dyDescent="0.2">
      <c r="A44" s="19">
        <v>42</v>
      </c>
      <c r="B44" s="19" t="s">
        <v>423</v>
      </c>
      <c r="C44" s="20">
        <v>44923</v>
      </c>
      <c r="D44" s="21"/>
      <c r="E44" s="19" t="s">
        <v>387</v>
      </c>
      <c r="F44" s="19" t="s">
        <v>382</v>
      </c>
      <c r="G44" s="19" t="s">
        <v>222</v>
      </c>
      <c r="H44" s="19" t="s">
        <v>423</v>
      </c>
      <c r="I44" s="21"/>
      <c r="J44" s="45">
        <v>43022932</v>
      </c>
      <c r="K44" s="45">
        <f t="shared" si="0"/>
        <v>-43022932</v>
      </c>
      <c r="L44" s="45">
        <f>IF(I44=0,0,I44/LOOKUP(C44,Settings!$F$5:$F$20,Settings!$G$5:$G$20))</f>
        <v>0</v>
      </c>
      <c r="M44" s="45">
        <f>IF(J44=0,0,J44/LOOKUP(C44,Settings!$F$5:$F$20,Settings!$G$5:$G$20))</f>
        <v>3893.4780090497738</v>
      </c>
      <c r="N44" s="45">
        <f t="shared" si="1"/>
        <v>-3893.4780090497738</v>
      </c>
      <c r="O44" s="21"/>
    </row>
    <row r="45" spans="1:15" x14ac:dyDescent="0.2">
      <c r="A45" s="13">
        <v>43</v>
      </c>
      <c r="B45" s="13" t="s">
        <v>424</v>
      </c>
      <c r="C45" s="14">
        <v>44931</v>
      </c>
      <c r="D45" s="15"/>
      <c r="E45" s="13" t="s">
        <v>363</v>
      </c>
      <c r="F45" s="13" t="s">
        <v>364</v>
      </c>
      <c r="G45" s="13" t="s">
        <v>365</v>
      </c>
      <c r="H45" s="13" t="s">
        <v>424</v>
      </c>
      <c r="I45" s="15"/>
      <c r="J45" s="44">
        <v>32000000</v>
      </c>
      <c r="K45" s="44">
        <f t="shared" si="0"/>
        <v>-32000000</v>
      </c>
      <c r="L45" s="44">
        <f>IF(I45=0,0,I45/LOOKUP(C45,Settings!$F$5:$F$20,Settings!$G$5:$G$20))</f>
        <v>0</v>
      </c>
      <c r="M45" s="44">
        <f>IF(J45=0,0,J45/LOOKUP(C45,Settings!$F$5:$F$20,Settings!$G$5:$G$20))</f>
        <v>2857.1428571428573</v>
      </c>
      <c r="N45" s="44">
        <f t="shared" si="1"/>
        <v>-2857.1428571428573</v>
      </c>
      <c r="O45" s="13" t="s">
        <v>366</v>
      </c>
    </row>
    <row r="46" spans="1:15" x14ac:dyDescent="0.2">
      <c r="A46" s="19">
        <v>44</v>
      </c>
      <c r="B46" s="19" t="s">
        <v>425</v>
      </c>
      <c r="C46" s="20">
        <v>44936</v>
      </c>
      <c r="D46" s="21"/>
      <c r="E46" s="19" t="s">
        <v>372</v>
      </c>
      <c r="F46" s="19" t="s">
        <v>365</v>
      </c>
      <c r="G46" s="19" t="s">
        <v>365</v>
      </c>
      <c r="H46" s="19" t="s">
        <v>425</v>
      </c>
      <c r="I46" s="21"/>
      <c r="J46" s="45">
        <v>15000000</v>
      </c>
      <c r="K46" s="45">
        <f t="shared" si="0"/>
        <v>-15000000</v>
      </c>
      <c r="L46" s="45">
        <f>IF(I46=0,0,I46/LOOKUP(C46,Settings!$F$5:$F$20,Settings!$G$5:$G$20))</f>
        <v>0</v>
      </c>
      <c r="M46" s="45">
        <f>IF(J46=0,0,J46/LOOKUP(C46,Settings!$F$5:$F$20,Settings!$G$5:$G$20))</f>
        <v>1339.2857142857142</v>
      </c>
      <c r="N46" s="45">
        <f t="shared" si="1"/>
        <v>-1339.2857142857142</v>
      </c>
      <c r="O46" s="21"/>
    </row>
    <row r="47" spans="1:15" x14ac:dyDescent="0.2">
      <c r="A47" s="13">
        <v>45</v>
      </c>
      <c r="B47" s="13" t="s">
        <v>426</v>
      </c>
      <c r="C47" s="14">
        <v>44941</v>
      </c>
      <c r="D47" s="15"/>
      <c r="E47" s="13" t="s">
        <v>374</v>
      </c>
      <c r="F47" s="13" t="s">
        <v>365</v>
      </c>
      <c r="G47" s="13" t="s">
        <v>365</v>
      </c>
      <c r="H47" s="13" t="s">
        <v>426</v>
      </c>
      <c r="I47" s="15"/>
      <c r="J47" s="44">
        <v>8668112</v>
      </c>
      <c r="K47" s="44">
        <f t="shared" si="0"/>
        <v>-8668112</v>
      </c>
      <c r="L47" s="44">
        <f>IF(I47=0,0,I47/LOOKUP(C47,Settings!$F$5:$F$20,Settings!$G$5:$G$20))</f>
        <v>0</v>
      </c>
      <c r="M47" s="44">
        <f>IF(J47=0,0,J47/LOOKUP(C47,Settings!$F$5:$F$20,Settings!$G$5:$G$20))</f>
        <v>773.93857142857144</v>
      </c>
      <c r="N47" s="44">
        <f t="shared" si="1"/>
        <v>-773.93857142857144</v>
      </c>
      <c r="O47" s="15"/>
    </row>
    <row r="48" spans="1:15" x14ac:dyDescent="0.2">
      <c r="A48" s="19">
        <v>46</v>
      </c>
      <c r="B48" s="19" t="s">
        <v>427</v>
      </c>
      <c r="C48" s="20">
        <v>44941</v>
      </c>
      <c r="D48" s="21"/>
      <c r="E48" s="19" t="s">
        <v>376</v>
      </c>
      <c r="F48" s="19" t="s">
        <v>365</v>
      </c>
      <c r="G48" s="19" t="s">
        <v>365</v>
      </c>
      <c r="H48" s="19" t="s">
        <v>427</v>
      </c>
      <c r="I48" s="21"/>
      <c r="J48" s="45">
        <v>6945331</v>
      </c>
      <c r="K48" s="45">
        <f t="shared" si="0"/>
        <v>-6945331</v>
      </c>
      <c r="L48" s="45">
        <f>IF(I48=0,0,I48/LOOKUP(C48,Settings!$F$5:$F$20,Settings!$G$5:$G$20))</f>
        <v>0</v>
      </c>
      <c r="M48" s="45">
        <f>IF(J48=0,0,J48/LOOKUP(C48,Settings!$F$5:$F$20,Settings!$G$5:$G$20))</f>
        <v>620.11883928571433</v>
      </c>
      <c r="N48" s="45">
        <f t="shared" si="1"/>
        <v>-620.11883928571433</v>
      </c>
      <c r="O48" s="21"/>
    </row>
    <row r="49" spans="1:15" x14ac:dyDescent="0.2">
      <c r="A49" s="13">
        <v>47</v>
      </c>
      <c r="B49" s="13" t="s">
        <v>428</v>
      </c>
      <c r="C49" s="14">
        <v>44946</v>
      </c>
      <c r="D49" s="15"/>
      <c r="E49" s="13" t="s">
        <v>381</v>
      </c>
      <c r="F49" s="13" t="s">
        <v>382</v>
      </c>
      <c r="G49" s="13" t="s">
        <v>382</v>
      </c>
      <c r="H49" s="13" t="s">
        <v>428</v>
      </c>
      <c r="I49" s="15"/>
      <c r="J49" s="44">
        <v>77140981</v>
      </c>
      <c r="K49" s="44">
        <f t="shared" si="0"/>
        <v>-77140981</v>
      </c>
      <c r="L49" s="44">
        <f>IF(I49=0,0,I49/LOOKUP(C49,Settings!$F$5:$F$20,Settings!$G$5:$G$20))</f>
        <v>0</v>
      </c>
      <c r="M49" s="44">
        <f>IF(J49=0,0,J49/LOOKUP(C49,Settings!$F$5:$F$20,Settings!$G$5:$G$20))</f>
        <v>6887.5875892857139</v>
      </c>
      <c r="N49" s="44">
        <f t="shared" si="1"/>
        <v>-6887.5875892857139</v>
      </c>
      <c r="O49" s="15"/>
    </row>
    <row r="50" spans="1:15" x14ac:dyDescent="0.2">
      <c r="A50" s="19">
        <v>48</v>
      </c>
      <c r="B50" s="19" t="s">
        <v>429</v>
      </c>
      <c r="C50" s="20">
        <v>44954</v>
      </c>
      <c r="D50" s="21"/>
      <c r="E50" s="19" t="s">
        <v>384</v>
      </c>
      <c r="F50" s="19" t="s">
        <v>382</v>
      </c>
      <c r="G50" s="19" t="s">
        <v>382</v>
      </c>
      <c r="H50" s="19" t="s">
        <v>429</v>
      </c>
      <c r="I50" s="21"/>
      <c r="J50" s="45">
        <v>357000000</v>
      </c>
      <c r="K50" s="45">
        <f t="shared" si="0"/>
        <v>-357000000</v>
      </c>
      <c r="L50" s="45">
        <f>IF(I50=0,0,I50/LOOKUP(C50,Settings!$F$5:$F$20,Settings!$G$5:$G$20))</f>
        <v>0</v>
      </c>
      <c r="M50" s="45">
        <f>IF(J50=0,0,J50/LOOKUP(C50,Settings!$F$5:$F$20,Settings!$G$5:$G$20))</f>
        <v>31875</v>
      </c>
      <c r="N50" s="45">
        <f t="shared" si="1"/>
        <v>-31875</v>
      </c>
      <c r="O50" s="19" t="s">
        <v>385</v>
      </c>
    </row>
    <row r="51" spans="1:15" x14ac:dyDescent="0.2">
      <c r="A51" s="13">
        <v>49</v>
      </c>
      <c r="B51" s="13" t="s">
        <v>430</v>
      </c>
      <c r="C51" s="14">
        <v>44967</v>
      </c>
      <c r="D51" s="15"/>
      <c r="E51" s="13" t="s">
        <v>372</v>
      </c>
      <c r="F51" s="13" t="s">
        <v>365</v>
      </c>
      <c r="G51" s="13" t="s">
        <v>365</v>
      </c>
      <c r="H51" s="13" t="s">
        <v>430</v>
      </c>
      <c r="I51" s="15"/>
      <c r="J51" s="44">
        <v>15000000</v>
      </c>
      <c r="K51" s="44">
        <f t="shared" si="0"/>
        <v>-15000000</v>
      </c>
      <c r="L51" s="44">
        <f>IF(I51=0,0,I51/LOOKUP(C51,Settings!$F$5:$F$20,Settings!$G$5:$G$20))</f>
        <v>0</v>
      </c>
      <c r="M51" s="44">
        <f>IF(J51=0,0,J51/LOOKUP(C51,Settings!$F$5:$F$20,Settings!$G$5:$G$20))</f>
        <v>1339.2857142857142</v>
      </c>
      <c r="N51" s="44">
        <f t="shared" si="1"/>
        <v>-1339.2857142857142</v>
      </c>
      <c r="O51" s="15"/>
    </row>
    <row r="52" spans="1:15" x14ac:dyDescent="0.2">
      <c r="A52" s="19">
        <v>50</v>
      </c>
      <c r="B52" s="19" t="s">
        <v>431</v>
      </c>
      <c r="C52" s="20">
        <v>44972</v>
      </c>
      <c r="D52" s="21"/>
      <c r="E52" s="19" t="s">
        <v>374</v>
      </c>
      <c r="F52" s="19" t="s">
        <v>365</v>
      </c>
      <c r="G52" s="19" t="s">
        <v>365</v>
      </c>
      <c r="H52" s="19" t="s">
        <v>431</v>
      </c>
      <c r="I52" s="21"/>
      <c r="J52" s="45">
        <v>7565508</v>
      </c>
      <c r="K52" s="45">
        <f t="shared" si="0"/>
        <v>-7565508</v>
      </c>
      <c r="L52" s="45">
        <f>IF(I52=0,0,I52/LOOKUP(C52,Settings!$F$5:$F$20,Settings!$G$5:$G$20))</f>
        <v>0</v>
      </c>
      <c r="M52" s="45">
        <f>IF(J52=0,0,J52/LOOKUP(C52,Settings!$F$5:$F$20,Settings!$G$5:$G$20))</f>
        <v>675.4917857142857</v>
      </c>
      <c r="N52" s="45">
        <f t="shared" si="1"/>
        <v>-675.4917857142857</v>
      </c>
      <c r="O52" s="21"/>
    </row>
    <row r="53" spans="1:15" x14ac:dyDescent="0.2">
      <c r="A53" s="13">
        <v>51</v>
      </c>
      <c r="B53" s="13" t="s">
        <v>432</v>
      </c>
      <c r="C53" s="14">
        <v>44972</v>
      </c>
      <c r="D53" s="15"/>
      <c r="E53" s="13" t="s">
        <v>376</v>
      </c>
      <c r="F53" s="13" t="s">
        <v>365</v>
      </c>
      <c r="G53" s="13" t="s">
        <v>365</v>
      </c>
      <c r="H53" s="13" t="s">
        <v>432</v>
      </c>
      <c r="I53" s="15"/>
      <c r="J53" s="44">
        <v>6226653</v>
      </c>
      <c r="K53" s="44">
        <f t="shared" si="0"/>
        <v>-6226653</v>
      </c>
      <c r="L53" s="44">
        <f>IF(I53=0,0,I53/LOOKUP(C53,Settings!$F$5:$F$20,Settings!$G$5:$G$20))</f>
        <v>0</v>
      </c>
      <c r="M53" s="44">
        <f>IF(J53=0,0,J53/LOOKUP(C53,Settings!$F$5:$F$20,Settings!$G$5:$G$20))</f>
        <v>555.95116071428572</v>
      </c>
      <c r="N53" s="44">
        <f t="shared" si="1"/>
        <v>-555.95116071428572</v>
      </c>
      <c r="O53" s="15"/>
    </row>
    <row r="54" spans="1:15" x14ac:dyDescent="0.2">
      <c r="A54" s="19">
        <v>52</v>
      </c>
      <c r="B54" s="19" t="s">
        <v>433</v>
      </c>
      <c r="C54" s="20">
        <v>44977</v>
      </c>
      <c r="D54" s="19" t="s">
        <v>434</v>
      </c>
      <c r="E54" s="21"/>
      <c r="F54" s="19" t="s">
        <v>224</v>
      </c>
      <c r="G54" s="19" t="s">
        <v>222</v>
      </c>
      <c r="H54" s="19" t="s">
        <v>64</v>
      </c>
      <c r="I54" s="21"/>
      <c r="J54" s="45">
        <v>84338339</v>
      </c>
      <c r="K54" s="45">
        <f t="shared" si="0"/>
        <v>-84338339</v>
      </c>
      <c r="L54" s="45">
        <f>IF(I54=0,0,I54/LOOKUP(C54,Settings!$F$5:$F$20,Settings!$G$5:$G$20))</f>
        <v>0</v>
      </c>
      <c r="M54" s="45">
        <f>IF(J54=0,0,J54/LOOKUP(C54,Settings!$F$5:$F$20,Settings!$G$5:$G$20))</f>
        <v>7530.208839285714</v>
      </c>
      <c r="N54" s="45">
        <f t="shared" si="1"/>
        <v>-7530.208839285714</v>
      </c>
      <c r="O54" s="19" t="s">
        <v>379</v>
      </c>
    </row>
    <row r="55" spans="1:15" x14ac:dyDescent="0.2">
      <c r="A55" s="13">
        <v>53</v>
      </c>
      <c r="B55" s="13" t="s">
        <v>435</v>
      </c>
      <c r="C55" s="14">
        <v>44977</v>
      </c>
      <c r="D55" s="15"/>
      <c r="E55" s="13" t="s">
        <v>381</v>
      </c>
      <c r="F55" s="13" t="s">
        <v>382</v>
      </c>
      <c r="G55" s="13" t="s">
        <v>382</v>
      </c>
      <c r="H55" s="13" t="s">
        <v>435</v>
      </c>
      <c r="I55" s="15"/>
      <c r="J55" s="44">
        <v>78311071</v>
      </c>
      <c r="K55" s="44">
        <f t="shared" si="0"/>
        <v>-78311071</v>
      </c>
      <c r="L55" s="44">
        <f>IF(I55=0,0,I55/LOOKUP(C55,Settings!$F$5:$F$20,Settings!$G$5:$G$20))</f>
        <v>0</v>
      </c>
      <c r="M55" s="44">
        <f>IF(J55=0,0,J55/LOOKUP(C55,Settings!$F$5:$F$20,Settings!$G$5:$G$20))</f>
        <v>6992.0599107142862</v>
      </c>
      <c r="N55" s="44">
        <f t="shared" si="1"/>
        <v>-6992.0599107142862</v>
      </c>
      <c r="O55" s="15"/>
    </row>
    <row r="56" spans="1:15" x14ac:dyDescent="0.2">
      <c r="A56" s="19">
        <v>54</v>
      </c>
      <c r="B56" s="19" t="s">
        <v>436</v>
      </c>
      <c r="C56" s="20">
        <v>44983</v>
      </c>
      <c r="D56" s="21"/>
      <c r="E56" s="19" t="s">
        <v>384</v>
      </c>
      <c r="F56" s="19" t="s">
        <v>382</v>
      </c>
      <c r="G56" s="19" t="s">
        <v>382</v>
      </c>
      <c r="H56" s="19" t="s">
        <v>436</v>
      </c>
      <c r="I56" s="21"/>
      <c r="J56" s="45">
        <v>357000000</v>
      </c>
      <c r="K56" s="45">
        <f t="shared" si="0"/>
        <v>-357000000</v>
      </c>
      <c r="L56" s="45">
        <f>IF(I56=0,0,I56/LOOKUP(C56,Settings!$F$5:$F$20,Settings!$G$5:$G$20))</f>
        <v>0</v>
      </c>
      <c r="M56" s="45">
        <f>IF(J56=0,0,J56/LOOKUP(C56,Settings!$F$5:$F$20,Settings!$G$5:$G$20))</f>
        <v>31875</v>
      </c>
      <c r="N56" s="45">
        <f t="shared" si="1"/>
        <v>-31875</v>
      </c>
      <c r="O56" s="19" t="s">
        <v>385</v>
      </c>
    </row>
    <row r="57" spans="1:15" x14ac:dyDescent="0.2">
      <c r="A57" s="13">
        <v>55</v>
      </c>
      <c r="B57" s="13" t="s">
        <v>437</v>
      </c>
      <c r="C57" s="14">
        <v>44983</v>
      </c>
      <c r="D57" s="15"/>
      <c r="E57" s="13" t="s">
        <v>387</v>
      </c>
      <c r="F57" s="13" t="s">
        <v>382</v>
      </c>
      <c r="G57" s="13" t="s">
        <v>222</v>
      </c>
      <c r="H57" s="13" t="s">
        <v>437</v>
      </c>
      <c r="I57" s="15"/>
      <c r="J57" s="44">
        <v>54713083</v>
      </c>
      <c r="K57" s="44">
        <f t="shared" si="0"/>
        <v>-54713083</v>
      </c>
      <c r="L57" s="44">
        <f>IF(I57=0,0,I57/LOOKUP(C57,Settings!$F$5:$F$20,Settings!$G$5:$G$20))</f>
        <v>0</v>
      </c>
      <c r="M57" s="44">
        <f>IF(J57=0,0,J57/LOOKUP(C57,Settings!$F$5:$F$20,Settings!$G$5:$G$20))</f>
        <v>4885.0966964285717</v>
      </c>
      <c r="N57" s="44">
        <f t="shared" si="1"/>
        <v>-4885.0966964285717</v>
      </c>
      <c r="O57" s="15"/>
    </row>
    <row r="58" spans="1:15" x14ac:dyDescent="0.2">
      <c r="A58" s="19">
        <v>56</v>
      </c>
      <c r="B58" s="19" t="s">
        <v>438</v>
      </c>
      <c r="C58" s="20">
        <v>44995</v>
      </c>
      <c r="D58" s="21"/>
      <c r="E58" s="19" t="s">
        <v>372</v>
      </c>
      <c r="F58" s="19" t="s">
        <v>365</v>
      </c>
      <c r="G58" s="19" t="s">
        <v>365</v>
      </c>
      <c r="H58" s="19" t="s">
        <v>438</v>
      </c>
      <c r="I58" s="21"/>
      <c r="J58" s="45">
        <v>15000000</v>
      </c>
      <c r="K58" s="45">
        <f t="shared" si="0"/>
        <v>-15000000</v>
      </c>
      <c r="L58" s="45">
        <f>IF(I58=0,0,I58/LOOKUP(C58,Settings!$F$5:$F$20,Settings!$G$5:$G$20))</f>
        <v>0</v>
      </c>
      <c r="M58" s="45">
        <f>IF(J58=0,0,J58/LOOKUP(C58,Settings!$F$5:$F$20,Settings!$G$5:$G$20))</f>
        <v>1339.2857142857142</v>
      </c>
      <c r="N58" s="45">
        <f t="shared" si="1"/>
        <v>-1339.2857142857142</v>
      </c>
      <c r="O58" s="21"/>
    </row>
    <row r="59" spans="1:15" x14ac:dyDescent="0.2">
      <c r="A59" s="13">
        <v>57</v>
      </c>
      <c r="B59" s="13" t="s">
        <v>439</v>
      </c>
      <c r="C59" s="14">
        <v>45000</v>
      </c>
      <c r="D59" s="15"/>
      <c r="E59" s="13" t="s">
        <v>374</v>
      </c>
      <c r="F59" s="13" t="s">
        <v>365</v>
      </c>
      <c r="G59" s="13" t="s">
        <v>365</v>
      </c>
      <c r="H59" s="13" t="s">
        <v>439</v>
      </c>
      <c r="I59" s="15"/>
      <c r="J59" s="44">
        <v>8703213</v>
      </c>
      <c r="K59" s="44">
        <f t="shared" si="0"/>
        <v>-8703213</v>
      </c>
      <c r="L59" s="44">
        <f>IF(I59=0,0,I59/LOOKUP(C59,Settings!$F$5:$F$20,Settings!$G$5:$G$20))</f>
        <v>0</v>
      </c>
      <c r="M59" s="44">
        <f>IF(J59=0,0,J59/LOOKUP(C59,Settings!$F$5:$F$20,Settings!$G$5:$G$20))</f>
        <v>777.07258928571423</v>
      </c>
      <c r="N59" s="44">
        <f t="shared" si="1"/>
        <v>-777.07258928571423</v>
      </c>
      <c r="O59" s="15"/>
    </row>
    <row r="60" spans="1:15" x14ac:dyDescent="0.2">
      <c r="A60" s="19">
        <v>58</v>
      </c>
      <c r="B60" s="19" t="s">
        <v>440</v>
      </c>
      <c r="C60" s="20">
        <v>45000</v>
      </c>
      <c r="D60" s="21"/>
      <c r="E60" s="19" t="s">
        <v>376</v>
      </c>
      <c r="F60" s="19" t="s">
        <v>365</v>
      </c>
      <c r="G60" s="19" t="s">
        <v>365</v>
      </c>
      <c r="H60" s="19" t="s">
        <v>440</v>
      </c>
      <c r="I60" s="21"/>
      <c r="J60" s="45">
        <v>5250532</v>
      </c>
      <c r="K60" s="45">
        <f t="shared" si="0"/>
        <v>-5250532</v>
      </c>
      <c r="L60" s="45">
        <f>IF(I60=0,0,I60/LOOKUP(C60,Settings!$F$5:$F$20,Settings!$G$5:$G$20))</f>
        <v>0</v>
      </c>
      <c r="M60" s="45">
        <f>IF(J60=0,0,J60/LOOKUP(C60,Settings!$F$5:$F$20,Settings!$G$5:$G$20))</f>
        <v>468.79750000000001</v>
      </c>
      <c r="N60" s="45">
        <f t="shared" si="1"/>
        <v>-468.79750000000001</v>
      </c>
      <c r="O60" s="21"/>
    </row>
    <row r="61" spans="1:15" x14ac:dyDescent="0.2">
      <c r="A61" s="13">
        <v>59</v>
      </c>
      <c r="B61" s="13" t="s">
        <v>441</v>
      </c>
      <c r="C61" s="14">
        <v>45005</v>
      </c>
      <c r="D61" s="15"/>
      <c r="E61" s="13" t="s">
        <v>381</v>
      </c>
      <c r="F61" s="13" t="s">
        <v>382</v>
      </c>
      <c r="G61" s="13" t="s">
        <v>382</v>
      </c>
      <c r="H61" s="13" t="s">
        <v>441</v>
      </c>
      <c r="I61" s="15"/>
      <c r="J61" s="44">
        <v>82258322</v>
      </c>
      <c r="K61" s="44">
        <f t="shared" si="0"/>
        <v>-82258322</v>
      </c>
      <c r="L61" s="44">
        <f>IF(I61=0,0,I61/LOOKUP(C61,Settings!$F$5:$F$20,Settings!$G$5:$G$20))</f>
        <v>0</v>
      </c>
      <c r="M61" s="44">
        <f>IF(J61=0,0,J61/LOOKUP(C61,Settings!$F$5:$F$20,Settings!$G$5:$G$20))</f>
        <v>7344.4930357142857</v>
      </c>
      <c r="N61" s="44">
        <f t="shared" si="1"/>
        <v>-7344.4930357142857</v>
      </c>
      <c r="O61" s="15"/>
    </row>
    <row r="62" spans="1:15" x14ac:dyDescent="0.2">
      <c r="A62" s="19">
        <v>60</v>
      </c>
      <c r="B62" s="19" t="s">
        <v>442</v>
      </c>
      <c r="C62" s="20">
        <v>45013</v>
      </c>
      <c r="D62" s="21"/>
      <c r="E62" s="19" t="s">
        <v>384</v>
      </c>
      <c r="F62" s="19" t="s">
        <v>382</v>
      </c>
      <c r="G62" s="19" t="s">
        <v>382</v>
      </c>
      <c r="H62" s="19" t="s">
        <v>442</v>
      </c>
      <c r="I62" s="21"/>
      <c r="J62" s="45">
        <v>357000000</v>
      </c>
      <c r="K62" s="45">
        <f t="shared" si="0"/>
        <v>-357000000</v>
      </c>
      <c r="L62" s="45">
        <f>IF(I62=0,0,I62/LOOKUP(C62,Settings!$F$5:$F$20,Settings!$G$5:$G$20))</f>
        <v>0</v>
      </c>
      <c r="M62" s="45">
        <f>IF(J62=0,0,J62/LOOKUP(C62,Settings!$F$5:$F$20,Settings!$G$5:$G$20))</f>
        <v>31875</v>
      </c>
      <c r="N62" s="45">
        <f t="shared" si="1"/>
        <v>-31875</v>
      </c>
      <c r="O62" s="19" t="s">
        <v>385</v>
      </c>
    </row>
    <row r="63" spans="1:15" x14ac:dyDescent="0.2">
      <c r="A63" s="13">
        <v>61</v>
      </c>
      <c r="B63" s="13" t="s">
        <v>443</v>
      </c>
      <c r="C63" s="14">
        <v>45013</v>
      </c>
      <c r="D63" s="15"/>
      <c r="E63" s="13" t="s">
        <v>387</v>
      </c>
      <c r="F63" s="13" t="s">
        <v>382</v>
      </c>
      <c r="G63" s="13" t="s">
        <v>222</v>
      </c>
      <c r="H63" s="13" t="s">
        <v>443</v>
      </c>
      <c r="I63" s="15"/>
      <c r="J63" s="44">
        <v>60522500</v>
      </c>
      <c r="K63" s="44">
        <f t="shared" si="0"/>
        <v>-60522500</v>
      </c>
      <c r="L63" s="44">
        <f>IF(I63=0,0,I63/LOOKUP(C63,Settings!$F$5:$F$20,Settings!$G$5:$G$20))</f>
        <v>0</v>
      </c>
      <c r="M63" s="44">
        <f>IF(J63=0,0,J63/LOOKUP(C63,Settings!$F$5:$F$20,Settings!$G$5:$G$20))</f>
        <v>5403.7946428571431</v>
      </c>
      <c r="N63" s="44">
        <f t="shared" si="1"/>
        <v>-5403.7946428571431</v>
      </c>
      <c r="O63" s="15"/>
    </row>
    <row r="64" spans="1:15" x14ac:dyDescent="0.2">
      <c r="A64" s="19">
        <v>62</v>
      </c>
      <c r="B64" s="19" t="s">
        <v>444</v>
      </c>
      <c r="C64" s="20">
        <v>45022</v>
      </c>
      <c r="D64" s="21"/>
      <c r="E64" s="19" t="s">
        <v>368</v>
      </c>
      <c r="F64" s="19" t="s">
        <v>369</v>
      </c>
      <c r="G64" s="19" t="s">
        <v>370</v>
      </c>
      <c r="H64" s="19" t="s">
        <v>444</v>
      </c>
      <c r="I64" s="21"/>
      <c r="J64" s="45">
        <v>8539634</v>
      </c>
      <c r="K64" s="45">
        <f t="shared" si="0"/>
        <v>-8539634</v>
      </c>
      <c r="L64" s="45">
        <f>IF(I64=0,0,I64/LOOKUP(C64,Settings!$F$5:$F$20,Settings!$G$5:$G$20))</f>
        <v>0</v>
      </c>
      <c r="M64" s="45">
        <f>IF(J64=0,0,J64/LOOKUP(C64,Settings!$F$5:$F$20,Settings!$G$5:$G$20))</f>
        <v>752.39066079295151</v>
      </c>
      <c r="N64" s="45">
        <f t="shared" si="1"/>
        <v>-752.39066079295151</v>
      </c>
      <c r="O64" s="21"/>
    </row>
    <row r="65" spans="1:15" x14ac:dyDescent="0.2">
      <c r="A65" s="13">
        <v>63</v>
      </c>
      <c r="B65" s="13" t="s">
        <v>445</v>
      </c>
      <c r="C65" s="14">
        <v>45026</v>
      </c>
      <c r="D65" s="15"/>
      <c r="E65" s="13" t="s">
        <v>372</v>
      </c>
      <c r="F65" s="13" t="s">
        <v>365</v>
      </c>
      <c r="G65" s="13" t="s">
        <v>365</v>
      </c>
      <c r="H65" s="13" t="s">
        <v>445</v>
      </c>
      <c r="I65" s="15"/>
      <c r="J65" s="44">
        <v>15000000</v>
      </c>
      <c r="K65" s="44">
        <f t="shared" si="0"/>
        <v>-15000000</v>
      </c>
      <c r="L65" s="44">
        <f>IF(I65=0,0,I65/LOOKUP(C65,Settings!$F$5:$F$20,Settings!$G$5:$G$20))</f>
        <v>0</v>
      </c>
      <c r="M65" s="44">
        <f>IF(J65=0,0,J65/LOOKUP(C65,Settings!$F$5:$F$20,Settings!$G$5:$G$20))</f>
        <v>1321.5859030837005</v>
      </c>
      <c r="N65" s="44">
        <f t="shared" si="1"/>
        <v>-1321.5859030837005</v>
      </c>
      <c r="O65" s="15"/>
    </row>
    <row r="66" spans="1:15" x14ac:dyDescent="0.2">
      <c r="A66" s="19">
        <v>64</v>
      </c>
      <c r="B66" s="19" t="s">
        <v>446</v>
      </c>
      <c r="C66" s="20">
        <v>45031</v>
      </c>
      <c r="D66" s="21"/>
      <c r="E66" s="19" t="s">
        <v>374</v>
      </c>
      <c r="F66" s="19" t="s">
        <v>365</v>
      </c>
      <c r="G66" s="19" t="s">
        <v>365</v>
      </c>
      <c r="H66" s="19" t="s">
        <v>446</v>
      </c>
      <c r="I66" s="21"/>
      <c r="J66" s="45">
        <v>6807320</v>
      </c>
      <c r="K66" s="45">
        <f t="shared" si="0"/>
        <v>-6807320</v>
      </c>
      <c r="L66" s="45">
        <f>IF(I66=0,0,I66/LOOKUP(C66,Settings!$F$5:$F$20,Settings!$G$5:$G$20))</f>
        <v>0</v>
      </c>
      <c r="M66" s="45">
        <f>IF(J66=0,0,J66/LOOKUP(C66,Settings!$F$5:$F$20,Settings!$G$5:$G$20))</f>
        <v>599.7638766519824</v>
      </c>
      <c r="N66" s="45">
        <f t="shared" si="1"/>
        <v>-599.7638766519824</v>
      </c>
      <c r="O66" s="21"/>
    </row>
    <row r="67" spans="1:15" x14ac:dyDescent="0.2">
      <c r="A67" s="13">
        <v>65</v>
      </c>
      <c r="B67" s="13" t="s">
        <v>447</v>
      </c>
      <c r="C67" s="14">
        <v>45031</v>
      </c>
      <c r="D67" s="15"/>
      <c r="E67" s="13" t="s">
        <v>376</v>
      </c>
      <c r="F67" s="13" t="s">
        <v>365</v>
      </c>
      <c r="G67" s="13" t="s">
        <v>365</v>
      </c>
      <c r="H67" s="13" t="s">
        <v>447</v>
      </c>
      <c r="I67" s="15"/>
      <c r="J67" s="44">
        <v>6986000</v>
      </c>
      <c r="K67" s="44">
        <f t="shared" ref="K67:K130" si="2">I67-J67</f>
        <v>-6986000</v>
      </c>
      <c r="L67" s="44">
        <f>IF(I67=0,0,I67/LOOKUP(C67,Settings!$F$5:$F$20,Settings!$G$5:$G$20))</f>
        <v>0</v>
      </c>
      <c r="M67" s="44">
        <f>IF(J67=0,0,J67/LOOKUP(C67,Settings!$F$5:$F$20,Settings!$G$5:$G$20))</f>
        <v>615.50660792951544</v>
      </c>
      <c r="N67" s="44">
        <f t="shared" ref="N67:N130" si="3">L67-M67</f>
        <v>-615.50660792951544</v>
      </c>
      <c r="O67" s="15"/>
    </row>
    <row r="68" spans="1:15" x14ac:dyDescent="0.2">
      <c r="A68" s="19">
        <v>66</v>
      </c>
      <c r="B68" s="19" t="s">
        <v>448</v>
      </c>
      <c r="C68" s="20">
        <v>45036</v>
      </c>
      <c r="D68" s="19" t="s">
        <v>449</v>
      </c>
      <c r="E68" s="21"/>
      <c r="F68" s="19" t="s">
        <v>224</v>
      </c>
      <c r="G68" s="19" t="s">
        <v>222</v>
      </c>
      <c r="H68" s="19" t="s">
        <v>74</v>
      </c>
      <c r="I68" s="21"/>
      <c r="J68" s="45">
        <v>180728036</v>
      </c>
      <c r="K68" s="45">
        <f t="shared" si="2"/>
        <v>-180728036</v>
      </c>
      <c r="L68" s="45">
        <f>IF(I68=0,0,I68/LOOKUP(C68,Settings!$F$5:$F$20,Settings!$G$5:$G$20))</f>
        <v>0</v>
      </c>
      <c r="M68" s="45">
        <f>IF(J68=0,0,J68/LOOKUP(C68,Settings!$F$5:$F$20,Settings!$G$5:$G$20))</f>
        <v>15923.174977973569</v>
      </c>
      <c r="N68" s="45">
        <f t="shared" si="3"/>
        <v>-15923.174977973569</v>
      </c>
      <c r="O68" s="19" t="s">
        <v>379</v>
      </c>
    </row>
    <row r="69" spans="1:15" x14ac:dyDescent="0.2">
      <c r="A69" s="13">
        <v>67</v>
      </c>
      <c r="B69" s="13" t="s">
        <v>450</v>
      </c>
      <c r="C69" s="14">
        <v>45036</v>
      </c>
      <c r="D69" s="15"/>
      <c r="E69" s="13" t="s">
        <v>381</v>
      </c>
      <c r="F69" s="13" t="s">
        <v>382</v>
      </c>
      <c r="G69" s="13" t="s">
        <v>382</v>
      </c>
      <c r="H69" s="13" t="s">
        <v>450</v>
      </c>
      <c r="I69" s="15"/>
      <c r="J69" s="44">
        <v>84316768</v>
      </c>
      <c r="K69" s="44">
        <f t="shared" si="2"/>
        <v>-84316768</v>
      </c>
      <c r="L69" s="44">
        <f>IF(I69=0,0,I69/LOOKUP(C69,Settings!$F$5:$F$20,Settings!$G$5:$G$20))</f>
        <v>0</v>
      </c>
      <c r="M69" s="44">
        <f>IF(J69=0,0,J69/LOOKUP(C69,Settings!$F$5:$F$20,Settings!$G$5:$G$20))</f>
        <v>7428.7901321585905</v>
      </c>
      <c r="N69" s="44">
        <f t="shared" si="3"/>
        <v>-7428.7901321585905</v>
      </c>
      <c r="O69" s="15"/>
    </row>
    <row r="70" spans="1:15" x14ac:dyDescent="0.2">
      <c r="A70" s="19">
        <v>68</v>
      </c>
      <c r="B70" s="19" t="s">
        <v>451</v>
      </c>
      <c r="C70" s="20">
        <v>45044</v>
      </c>
      <c r="D70" s="21"/>
      <c r="E70" s="19" t="s">
        <v>384</v>
      </c>
      <c r="F70" s="19" t="s">
        <v>382</v>
      </c>
      <c r="G70" s="19" t="s">
        <v>382</v>
      </c>
      <c r="H70" s="19" t="s">
        <v>451</v>
      </c>
      <c r="I70" s="21"/>
      <c r="J70" s="45">
        <v>357000000</v>
      </c>
      <c r="K70" s="45">
        <f t="shared" si="2"/>
        <v>-357000000</v>
      </c>
      <c r="L70" s="45">
        <f>IF(I70=0,0,I70/LOOKUP(C70,Settings!$F$5:$F$20,Settings!$G$5:$G$20))</f>
        <v>0</v>
      </c>
      <c r="M70" s="45">
        <f>IF(J70=0,0,J70/LOOKUP(C70,Settings!$F$5:$F$20,Settings!$G$5:$G$20))</f>
        <v>31453.744493392071</v>
      </c>
      <c r="N70" s="45">
        <f t="shared" si="3"/>
        <v>-31453.744493392071</v>
      </c>
      <c r="O70" s="19" t="s">
        <v>385</v>
      </c>
    </row>
    <row r="71" spans="1:15" x14ac:dyDescent="0.2">
      <c r="A71" s="13">
        <v>69</v>
      </c>
      <c r="B71" s="13" t="s">
        <v>452</v>
      </c>
      <c r="C71" s="14">
        <v>45056</v>
      </c>
      <c r="D71" s="15"/>
      <c r="E71" s="13" t="s">
        <v>372</v>
      </c>
      <c r="F71" s="13" t="s">
        <v>365</v>
      </c>
      <c r="G71" s="13" t="s">
        <v>365</v>
      </c>
      <c r="H71" s="13" t="s">
        <v>452</v>
      </c>
      <c r="I71" s="15"/>
      <c r="J71" s="44">
        <v>15000000</v>
      </c>
      <c r="K71" s="44">
        <f t="shared" si="2"/>
        <v>-15000000</v>
      </c>
      <c r="L71" s="44">
        <f>IF(I71=0,0,I71/LOOKUP(C71,Settings!$F$5:$F$20,Settings!$G$5:$G$20))</f>
        <v>0</v>
      </c>
      <c r="M71" s="44">
        <f>IF(J71=0,0,J71/LOOKUP(C71,Settings!$F$5:$F$20,Settings!$G$5:$G$20))</f>
        <v>1321.5859030837005</v>
      </c>
      <c r="N71" s="44">
        <f t="shared" si="3"/>
        <v>-1321.5859030837005</v>
      </c>
      <c r="O71" s="15"/>
    </row>
    <row r="72" spans="1:15" x14ac:dyDescent="0.2">
      <c r="A72" s="19">
        <v>70</v>
      </c>
      <c r="B72" s="19" t="s">
        <v>453</v>
      </c>
      <c r="C72" s="20">
        <v>45061</v>
      </c>
      <c r="D72" s="21"/>
      <c r="E72" s="19" t="s">
        <v>374</v>
      </c>
      <c r="F72" s="19" t="s">
        <v>365</v>
      </c>
      <c r="G72" s="19" t="s">
        <v>365</v>
      </c>
      <c r="H72" s="19" t="s">
        <v>453</v>
      </c>
      <c r="I72" s="21"/>
      <c r="J72" s="45">
        <v>6401299</v>
      </c>
      <c r="K72" s="45">
        <f t="shared" si="2"/>
        <v>-6401299</v>
      </c>
      <c r="L72" s="45">
        <f>IF(I72=0,0,I72/LOOKUP(C72,Settings!$F$5:$F$20,Settings!$G$5:$G$20))</f>
        <v>0</v>
      </c>
      <c r="M72" s="45">
        <f>IF(J72=0,0,J72/LOOKUP(C72,Settings!$F$5:$F$20,Settings!$G$5:$G$20))</f>
        <v>563.99110132158592</v>
      </c>
      <c r="N72" s="45">
        <f t="shared" si="3"/>
        <v>-563.99110132158592</v>
      </c>
      <c r="O72" s="21"/>
    </row>
    <row r="73" spans="1:15" x14ac:dyDescent="0.2">
      <c r="A73" s="13">
        <v>71</v>
      </c>
      <c r="B73" s="13" t="s">
        <v>454</v>
      </c>
      <c r="C73" s="14">
        <v>45061</v>
      </c>
      <c r="D73" s="15"/>
      <c r="E73" s="13" t="s">
        <v>376</v>
      </c>
      <c r="F73" s="13" t="s">
        <v>365</v>
      </c>
      <c r="G73" s="13" t="s">
        <v>365</v>
      </c>
      <c r="H73" s="13" t="s">
        <v>454</v>
      </c>
      <c r="I73" s="15"/>
      <c r="J73" s="44">
        <v>5582192</v>
      </c>
      <c r="K73" s="44">
        <f t="shared" si="2"/>
        <v>-5582192</v>
      </c>
      <c r="L73" s="44">
        <f>IF(I73=0,0,I73/LOOKUP(C73,Settings!$F$5:$F$20,Settings!$G$5:$G$20))</f>
        <v>0</v>
      </c>
      <c r="M73" s="44">
        <f>IF(J73=0,0,J73/LOOKUP(C73,Settings!$F$5:$F$20,Settings!$G$5:$G$20))</f>
        <v>491.82308370044052</v>
      </c>
      <c r="N73" s="44">
        <f t="shared" si="3"/>
        <v>-491.82308370044052</v>
      </c>
      <c r="O73" s="15"/>
    </row>
    <row r="74" spans="1:15" x14ac:dyDescent="0.2">
      <c r="A74" s="19">
        <v>72</v>
      </c>
      <c r="B74" s="19" t="s">
        <v>455</v>
      </c>
      <c r="C74" s="20">
        <v>45066</v>
      </c>
      <c r="D74" s="21"/>
      <c r="E74" s="19" t="s">
        <v>381</v>
      </c>
      <c r="F74" s="19" t="s">
        <v>382</v>
      </c>
      <c r="G74" s="19" t="s">
        <v>382</v>
      </c>
      <c r="H74" s="19" t="s">
        <v>455</v>
      </c>
      <c r="I74" s="21"/>
      <c r="J74" s="45">
        <v>82028553</v>
      </c>
      <c r="K74" s="45">
        <f t="shared" si="2"/>
        <v>-82028553</v>
      </c>
      <c r="L74" s="45">
        <f>IF(I74=0,0,I74/LOOKUP(C74,Settings!$F$5:$F$20,Settings!$G$5:$G$20))</f>
        <v>0</v>
      </c>
      <c r="M74" s="45">
        <f>IF(J74=0,0,J74/LOOKUP(C74,Settings!$F$5:$F$20,Settings!$G$5:$G$20))</f>
        <v>7227.1852863436125</v>
      </c>
      <c r="N74" s="45">
        <f t="shared" si="3"/>
        <v>-7227.1852863436125</v>
      </c>
      <c r="O74" s="21"/>
    </row>
    <row r="75" spans="1:15" x14ac:dyDescent="0.2">
      <c r="A75" s="13">
        <v>73</v>
      </c>
      <c r="B75" s="13" t="s">
        <v>456</v>
      </c>
      <c r="C75" s="14">
        <v>45074</v>
      </c>
      <c r="D75" s="15"/>
      <c r="E75" s="13" t="s">
        <v>384</v>
      </c>
      <c r="F75" s="13" t="s">
        <v>382</v>
      </c>
      <c r="G75" s="13" t="s">
        <v>382</v>
      </c>
      <c r="H75" s="13" t="s">
        <v>456</v>
      </c>
      <c r="I75" s="15"/>
      <c r="J75" s="44">
        <v>357000000</v>
      </c>
      <c r="K75" s="44">
        <f t="shared" si="2"/>
        <v>-357000000</v>
      </c>
      <c r="L75" s="44">
        <f>IF(I75=0,0,I75/LOOKUP(C75,Settings!$F$5:$F$20,Settings!$G$5:$G$20))</f>
        <v>0</v>
      </c>
      <c r="M75" s="44">
        <f>IF(J75=0,0,J75/LOOKUP(C75,Settings!$F$5:$F$20,Settings!$G$5:$G$20))</f>
        <v>31453.744493392071</v>
      </c>
      <c r="N75" s="44">
        <f t="shared" si="3"/>
        <v>-31453.744493392071</v>
      </c>
      <c r="O75" s="13" t="s">
        <v>385</v>
      </c>
    </row>
    <row r="76" spans="1:15" x14ac:dyDescent="0.2">
      <c r="A76" s="19">
        <v>74</v>
      </c>
      <c r="B76" s="19" t="s">
        <v>457</v>
      </c>
      <c r="C76" s="20">
        <v>45074</v>
      </c>
      <c r="D76" s="21"/>
      <c r="E76" s="19" t="s">
        <v>387</v>
      </c>
      <c r="F76" s="19" t="s">
        <v>382</v>
      </c>
      <c r="G76" s="19" t="s">
        <v>222</v>
      </c>
      <c r="H76" s="19" t="s">
        <v>457</v>
      </c>
      <c r="I76" s="21"/>
      <c r="J76" s="45">
        <v>50694943</v>
      </c>
      <c r="K76" s="45">
        <f t="shared" si="2"/>
        <v>-50694943</v>
      </c>
      <c r="L76" s="45">
        <f>IF(I76=0,0,I76/LOOKUP(C76,Settings!$F$5:$F$20,Settings!$G$5:$G$20))</f>
        <v>0</v>
      </c>
      <c r="M76" s="45">
        <f>IF(J76=0,0,J76/LOOKUP(C76,Settings!$F$5:$F$20,Settings!$G$5:$G$20))</f>
        <v>4466.514801762115</v>
      </c>
      <c r="N76" s="45">
        <f t="shared" si="3"/>
        <v>-4466.514801762115</v>
      </c>
      <c r="O76" s="21"/>
    </row>
    <row r="77" spans="1:15" x14ac:dyDescent="0.2">
      <c r="A77" s="13">
        <v>75</v>
      </c>
      <c r="B77" s="13" t="s">
        <v>458</v>
      </c>
      <c r="C77" s="14">
        <v>45083</v>
      </c>
      <c r="D77" s="15"/>
      <c r="E77" s="13" t="s">
        <v>368</v>
      </c>
      <c r="F77" s="13" t="s">
        <v>369</v>
      </c>
      <c r="G77" s="13" t="s">
        <v>370</v>
      </c>
      <c r="H77" s="13" t="s">
        <v>458</v>
      </c>
      <c r="I77" s="15"/>
      <c r="J77" s="44">
        <v>8929656</v>
      </c>
      <c r="K77" s="44">
        <f t="shared" si="2"/>
        <v>-8929656</v>
      </c>
      <c r="L77" s="44">
        <f>IF(I77=0,0,I77/LOOKUP(C77,Settings!$F$5:$F$20,Settings!$G$5:$G$20))</f>
        <v>0</v>
      </c>
      <c r="M77" s="44">
        <f>IF(J77=0,0,J77/LOOKUP(C77,Settings!$F$5:$F$20,Settings!$G$5:$G$20))</f>
        <v>786.75383259911894</v>
      </c>
      <c r="N77" s="44">
        <f t="shared" si="3"/>
        <v>-786.75383259911894</v>
      </c>
      <c r="O77" s="15"/>
    </row>
    <row r="78" spans="1:15" x14ac:dyDescent="0.2">
      <c r="A78" s="19">
        <v>76</v>
      </c>
      <c r="B78" s="19" t="s">
        <v>459</v>
      </c>
      <c r="C78" s="20">
        <v>45087</v>
      </c>
      <c r="D78" s="21"/>
      <c r="E78" s="19" t="s">
        <v>372</v>
      </c>
      <c r="F78" s="19" t="s">
        <v>365</v>
      </c>
      <c r="G78" s="19" t="s">
        <v>365</v>
      </c>
      <c r="H78" s="19" t="s">
        <v>459</v>
      </c>
      <c r="I78" s="21"/>
      <c r="J78" s="45">
        <v>15000000</v>
      </c>
      <c r="K78" s="45">
        <f t="shared" si="2"/>
        <v>-15000000</v>
      </c>
      <c r="L78" s="45">
        <f>IF(I78=0,0,I78/LOOKUP(C78,Settings!$F$5:$F$20,Settings!$G$5:$G$20))</f>
        <v>0</v>
      </c>
      <c r="M78" s="45">
        <f>IF(J78=0,0,J78/LOOKUP(C78,Settings!$F$5:$F$20,Settings!$G$5:$G$20))</f>
        <v>1321.5859030837005</v>
      </c>
      <c r="N78" s="45">
        <f t="shared" si="3"/>
        <v>-1321.5859030837005</v>
      </c>
      <c r="O78" s="21"/>
    </row>
    <row r="79" spans="1:15" x14ac:dyDescent="0.2">
      <c r="A79" s="13">
        <v>77</v>
      </c>
      <c r="B79" s="13" t="s">
        <v>460</v>
      </c>
      <c r="C79" s="14">
        <v>45092</v>
      </c>
      <c r="D79" s="15"/>
      <c r="E79" s="13" t="s">
        <v>374</v>
      </c>
      <c r="F79" s="13" t="s">
        <v>365</v>
      </c>
      <c r="G79" s="13" t="s">
        <v>365</v>
      </c>
      <c r="H79" s="13" t="s">
        <v>460</v>
      </c>
      <c r="I79" s="15"/>
      <c r="J79" s="44">
        <v>7083844</v>
      </c>
      <c r="K79" s="44">
        <f t="shared" si="2"/>
        <v>-7083844</v>
      </c>
      <c r="L79" s="44">
        <f>IF(I79=0,0,I79/LOOKUP(C79,Settings!$F$5:$F$20,Settings!$G$5:$G$20))</f>
        <v>0</v>
      </c>
      <c r="M79" s="44">
        <f>IF(J79=0,0,J79/LOOKUP(C79,Settings!$F$5:$F$20,Settings!$G$5:$G$20))</f>
        <v>624.12722466960349</v>
      </c>
      <c r="N79" s="44">
        <f t="shared" si="3"/>
        <v>-624.12722466960349</v>
      </c>
      <c r="O79" s="15"/>
    </row>
    <row r="80" spans="1:15" x14ac:dyDescent="0.2">
      <c r="A80" s="19">
        <v>78</v>
      </c>
      <c r="B80" s="19" t="s">
        <v>461</v>
      </c>
      <c r="C80" s="20">
        <v>45092</v>
      </c>
      <c r="D80" s="21"/>
      <c r="E80" s="19" t="s">
        <v>376</v>
      </c>
      <c r="F80" s="19" t="s">
        <v>365</v>
      </c>
      <c r="G80" s="19" t="s">
        <v>365</v>
      </c>
      <c r="H80" s="19" t="s">
        <v>461</v>
      </c>
      <c r="I80" s="21"/>
      <c r="J80" s="45">
        <v>6878247</v>
      </c>
      <c r="K80" s="45">
        <f t="shared" si="2"/>
        <v>-6878247</v>
      </c>
      <c r="L80" s="45">
        <f>IF(I80=0,0,I80/LOOKUP(C80,Settings!$F$5:$F$20,Settings!$G$5:$G$20))</f>
        <v>0</v>
      </c>
      <c r="M80" s="45">
        <f>IF(J80=0,0,J80/LOOKUP(C80,Settings!$F$5:$F$20,Settings!$G$5:$G$20))</f>
        <v>606.01295154185027</v>
      </c>
      <c r="N80" s="45">
        <f t="shared" si="3"/>
        <v>-606.01295154185027</v>
      </c>
      <c r="O80" s="21"/>
    </row>
    <row r="81" spans="1:15" x14ac:dyDescent="0.2">
      <c r="A81" s="13">
        <v>79</v>
      </c>
      <c r="B81" s="13" t="s">
        <v>462</v>
      </c>
      <c r="C81" s="14">
        <v>45097</v>
      </c>
      <c r="D81" s="13" t="s">
        <v>463</v>
      </c>
      <c r="E81" s="15"/>
      <c r="F81" s="13" t="s">
        <v>224</v>
      </c>
      <c r="G81" s="13" t="s">
        <v>222</v>
      </c>
      <c r="H81" s="13" t="s">
        <v>82</v>
      </c>
      <c r="I81" s="15"/>
      <c r="J81" s="44">
        <v>323205843</v>
      </c>
      <c r="K81" s="44">
        <f t="shared" si="2"/>
        <v>-323205843</v>
      </c>
      <c r="L81" s="44">
        <f>IF(I81=0,0,I81/LOOKUP(C81,Settings!$F$5:$F$20,Settings!$G$5:$G$20))</f>
        <v>0</v>
      </c>
      <c r="M81" s="44">
        <f>IF(J81=0,0,J81/LOOKUP(C81,Settings!$F$5:$F$20,Settings!$G$5:$G$20))</f>
        <v>28476.285726872247</v>
      </c>
      <c r="N81" s="44">
        <f t="shared" si="3"/>
        <v>-28476.285726872247</v>
      </c>
      <c r="O81" s="13" t="s">
        <v>379</v>
      </c>
    </row>
    <row r="82" spans="1:15" x14ac:dyDescent="0.2">
      <c r="A82" s="19">
        <v>80</v>
      </c>
      <c r="B82" s="19" t="s">
        <v>464</v>
      </c>
      <c r="C82" s="20">
        <v>45097</v>
      </c>
      <c r="D82" s="21"/>
      <c r="E82" s="19" t="s">
        <v>381</v>
      </c>
      <c r="F82" s="19" t="s">
        <v>382</v>
      </c>
      <c r="G82" s="19" t="s">
        <v>382</v>
      </c>
      <c r="H82" s="19" t="s">
        <v>464</v>
      </c>
      <c r="I82" s="21"/>
      <c r="J82" s="45">
        <v>85220518</v>
      </c>
      <c r="K82" s="45">
        <f t="shared" si="2"/>
        <v>-85220518</v>
      </c>
      <c r="L82" s="45">
        <f>IF(I82=0,0,I82/LOOKUP(C82,Settings!$F$5:$F$20,Settings!$G$5:$G$20))</f>
        <v>0</v>
      </c>
      <c r="M82" s="45">
        <f>IF(J82=0,0,J82/LOOKUP(C82,Settings!$F$5:$F$20,Settings!$G$5:$G$20))</f>
        <v>7508.4156828193836</v>
      </c>
      <c r="N82" s="45">
        <f t="shared" si="3"/>
        <v>-7508.4156828193836</v>
      </c>
      <c r="O82" s="21"/>
    </row>
    <row r="83" spans="1:15" x14ac:dyDescent="0.2">
      <c r="A83" s="13">
        <v>81</v>
      </c>
      <c r="B83" s="13" t="s">
        <v>465</v>
      </c>
      <c r="C83" s="14">
        <v>45105</v>
      </c>
      <c r="D83" s="15"/>
      <c r="E83" s="13" t="s">
        <v>384</v>
      </c>
      <c r="F83" s="13" t="s">
        <v>382</v>
      </c>
      <c r="G83" s="13" t="s">
        <v>382</v>
      </c>
      <c r="H83" s="13" t="s">
        <v>465</v>
      </c>
      <c r="I83" s="15"/>
      <c r="J83" s="44">
        <v>357000000</v>
      </c>
      <c r="K83" s="44">
        <f t="shared" si="2"/>
        <v>-357000000</v>
      </c>
      <c r="L83" s="44">
        <f>IF(I83=0,0,I83/LOOKUP(C83,Settings!$F$5:$F$20,Settings!$G$5:$G$20))</f>
        <v>0</v>
      </c>
      <c r="M83" s="44">
        <f>IF(J83=0,0,J83/LOOKUP(C83,Settings!$F$5:$F$20,Settings!$G$5:$G$20))</f>
        <v>31453.744493392071</v>
      </c>
      <c r="N83" s="44">
        <f t="shared" si="3"/>
        <v>-31453.744493392071</v>
      </c>
      <c r="O83" s="13" t="s">
        <v>385</v>
      </c>
    </row>
    <row r="84" spans="1:15" x14ac:dyDescent="0.2">
      <c r="A84" s="19">
        <v>82</v>
      </c>
      <c r="B84" s="19" t="s">
        <v>466</v>
      </c>
      <c r="C84" s="20">
        <v>45105</v>
      </c>
      <c r="D84" s="21"/>
      <c r="E84" s="19" t="s">
        <v>387</v>
      </c>
      <c r="F84" s="19" t="s">
        <v>382</v>
      </c>
      <c r="G84" s="19" t="s">
        <v>222</v>
      </c>
      <c r="H84" s="19" t="s">
        <v>466</v>
      </c>
      <c r="I84" s="21"/>
      <c r="J84" s="45">
        <v>47230733</v>
      </c>
      <c r="K84" s="45">
        <f t="shared" si="2"/>
        <v>-47230733</v>
      </c>
      <c r="L84" s="45">
        <f>IF(I84=0,0,I84/LOOKUP(C84,Settings!$F$5:$F$20,Settings!$G$5:$G$20))</f>
        <v>0</v>
      </c>
      <c r="M84" s="45">
        <f>IF(J84=0,0,J84/LOOKUP(C84,Settings!$F$5:$F$20,Settings!$G$5:$G$20))</f>
        <v>4161.2980616740087</v>
      </c>
      <c r="N84" s="45">
        <f t="shared" si="3"/>
        <v>-4161.2980616740087</v>
      </c>
      <c r="O84" s="21"/>
    </row>
    <row r="85" spans="1:15" x14ac:dyDescent="0.2">
      <c r="A85" s="13">
        <v>83</v>
      </c>
      <c r="B85" s="13" t="s">
        <v>467</v>
      </c>
      <c r="C85" s="14">
        <v>45112</v>
      </c>
      <c r="D85" s="15"/>
      <c r="E85" s="13" t="s">
        <v>363</v>
      </c>
      <c r="F85" s="13" t="s">
        <v>364</v>
      </c>
      <c r="G85" s="13" t="s">
        <v>365</v>
      </c>
      <c r="H85" s="13" t="s">
        <v>467</v>
      </c>
      <c r="I85" s="15"/>
      <c r="J85" s="44">
        <v>32000000</v>
      </c>
      <c r="K85" s="44">
        <f t="shared" si="2"/>
        <v>-32000000</v>
      </c>
      <c r="L85" s="44">
        <f>IF(I85=0,0,I85/LOOKUP(C85,Settings!$F$5:$F$20,Settings!$G$5:$G$20))</f>
        <v>0</v>
      </c>
      <c r="M85" s="44">
        <f>IF(J85=0,0,J85/LOOKUP(C85,Settings!$F$5:$F$20,Settings!$G$5:$G$20))</f>
        <v>2782.608695652174</v>
      </c>
      <c r="N85" s="44">
        <f t="shared" si="3"/>
        <v>-2782.608695652174</v>
      </c>
      <c r="O85" s="13" t="s">
        <v>366</v>
      </c>
    </row>
    <row r="86" spans="1:15" x14ac:dyDescent="0.2">
      <c r="A86" s="19">
        <v>84</v>
      </c>
      <c r="B86" s="19" t="s">
        <v>468</v>
      </c>
      <c r="C86" s="20">
        <v>45115</v>
      </c>
      <c r="D86" s="21"/>
      <c r="E86" s="19" t="s">
        <v>368</v>
      </c>
      <c r="F86" s="19" t="s">
        <v>369</v>
      </c>
      <c r="G86" s="19" t="s">
        <v>370</v>
      </c>
      <c r="H86" s="19" t="s">
        <v>468</v>
      </c>
      <c r="I86" s="21"/>
      <c r="J86" s="45">
        <v>9055161</v>
      </c>
      <c r="K86" s="45">
        <f t="shared" si="2"/>
        <v>-9055161</v>
      </c>
      <c r="L86" s="45">
        <f>IF(I86=0,0,I86/LOOKUP(C86,Settings!$F$5:$F$20,Settings!$G$5:$G$20))</f>
        <v>0</v>
      </c>
      <c r="M86" s="45">
        <f>IF(J86=0,0,J86/LOOKUP(C86,Settings!$F$5:$F$20,Settings!$G$5:$G$20))</f>
        <v>787.40530434782613</v>
      </c>
      <c r="N86" s="45">
        <f t="shared" si="3"/>
        <v>-787.40530434782613</v>
      </c>
      <c r="O86" s="21"/>
    </row>
    <row r="87" spans="1:15" x14ac:dyDescent="0.2">
      <c r="A87" s="13">
        <v>85</v>
      </c>
      <c r="B87" s="13" t="s">
        <v>469</v>
      </c>
      <c r="C87" s="14">
        <v>45117</v>
      </c>
      <c r="D87" s="15"/>
      <c r="E87" s="13" t="s">
        <v>372</v>
      </c>
      <c r="F87" s="13" t="s">
        <v>365</v>
      </c>
      <c r="G87" s="13" t="s">
        <v>365</v>
      </c>
      <c r="H87" s="13" t="s">
        <v>469</v>
      </c>
      <c r="I87" s="15"/>
      <c r="J87" s="44">
        <v>15000000</v>
      </c>
      <c r="K87" s="44">
        <f t="shared" si="2"/>
        <v>-15000000</v>
      </c>
      <c r="L87" s="44">
        <f>IF(I87=0,0,I87/LOOKUP(C87,Settings!$F$5:$F$20,Settings!$G$5:$G$20))</f>
        <v>0</v>
      </c>
      <c r="M87" s="44">
        <f>IF(J87=0,0,J87/LOOKUP(C87,Settings!$F$5:$F$20,Settings!$G$5:$G$20))</f>
        <v>1304.3478260869565</v>
      </c>
      <c r="N87" s="44">
        <f t="shared" si="3"/>
        <v>-1304.3478260869565</v>
      </c>
      <c r="O87" s="15"/>
    </row>
    <row r="88" spans="1:15" x14ac:dyDescent="0.2">
      <c r="A88" s="19">
        <v>86</v>
      </c>
      <c r="B88" s="19" t="s">
        <v>470</v>
      </c>
      <c r="C88" s="20">
        <v>45122</v>
      </c>
      <c r="D88" s="21"/>
      <c r="E88" s="19" t="s">
        <v>374</v>
      </c>
      <c r="F88" s="19" t="s">
        <v>365</v>
      </c>
      <c r="G88" s="19" t="s">
        <v>365</v>
      </c>
      <c r="H88" s="19" t="s">
        <v>470</v>
      </c>
      <c r="I88" s="21"/>
      <c r="J88" s="45">
        <v>8524332</v>
      </c>
      <c r="K88" s="45">
        <f t="shared" si="2"/>
        <v>-8524332</v>
      </c>
      <c r="L88" s="45">
        <f>IF(I88=0,0,I88/LOOKUP(C88,Settings!$F$5:$F$20,Settings!$G$5:$G$20))</f>
        <v>0</v>
      </c>
      <c r="M88" s="45">
        <f>IF(J88=0,0,J88/LOOKUP(C88,Settings!$F$5:$F$20,Settings!$G$5:$G$20))</f>
        <v>741.24626086956516</v>
      </c>
      <c r="N88" s="45">
        <f t="shared" si="3"/>
        <v>-741.24626086956516</v>
      </c>
      <c r="O88" s="21"/>
    </row>
    <row r="89" spans="1:15" x14ac:dyDescent="0.2">
      <c r="A89" s="13">
        <v>87</v>
      </c>
      <c r="B89" s="13" t="s">
        <v>471</v>
      </c>
      <c r="C89" s="14">
        <v>45122</v>
      </c>
      <c r="D89" s="15"/>
      <c r="E89" s="13" t="s">
        <v>376</v>
      </c>
      <c r="F89" s="13" t="s">
        <v>365</v>
      </c>
      <c r="G89" s="13" t="s">
        <v>365</v>
      </c>
      <c r="H89" s="13" t="s">
        <v>471</v>
      </c>
      <c r="I89" s="15"/>
      <c r="J89" s="44">
        <v>4656814</v>
      </c>
      <c r="K89" s="44">
        <f t="shared" si="2"/>
        <v>-4656814</v>
      </c>
      <c r="L89" s="44">
        <f>IF(I89=0,0,I89/LOOKUP(C89,Settings!$F$5:$F$20,Settings!$G$5:$G$20))</f>
        <v>0</v>
      </c>
      <c r="M89" s="44">
        <f>IF(J89=0,0,J89/LOOKUP(C89,Settings!$F$5:$F$20,Settings!$G$5:$G$20))</f>
        <v>404.94034782608696</v>
      </c>
      <c r="N89" s="44">
        <f t="shared" si="3"/>
        <v>-404.94034782608696</v>
      </c>
      <c r="O89" s="15"/>
    </row>
    <row r="90" spans="1:15" x14ac:dyDescent="0.2">
      <c r="A90" s="19">
        <v>88</v>
      </c>
      <c r="B90" s="19" t="s">
        <v>472</v>
      </c>
      <c r="C90" s="20">
        <v>45127</v>
      </c>
      <c r="D90" s="21"/>
      <c r="E90" s="19" t="s">
        <v>381</v>
      </c>
      <c r="F90" s="19" t="s">
        <v>382</v>
      </c>
      <c r="G90" s="19" t="s">
        <v>382</v>
      </c>
      <c r="H90" s="19" t="s">
        <v>472</v>
      </c>
      <c r="I90" s="21"/>
      <c r="J90" s="45">
        <v>87723653</v>
      </c>
      <c r="K90" s="45">
        <f t="shared" si="2"/>
        <v>-87723653</v>
      </c>
      <c r="L90" s="45">
        <f>IF(I90=0,0,I90/LOOKUP(C90,Settings!$F$5:$F$20,Settings!$G$5:$G$20))</f>
        <v>0</v>
      </c>
      <c r="M90" s="45">
        <f>IF(J90=0,0,J90/LOOKUP(C90,Settings!$F$5:$F$20,Settings!$G$5:$G$20))</f>
        <v>7628.1437391304344</v>
      </c>
      <c r="N90" s="45">
        <f t="shared" si="3"/>
        <v>-7628.1437391304344</v>
      </c>
      <c r="O90" s="21"/>
    </row>
    <row r="91" spans="1:15" x14ac:dyDescent="0.2">
      <c r="A91" s="13">
        <v>89</v>
      </c>
      <c r="B91" s="13" t="s">
        <v>473</v>
      </c>
      <c r="C91" s="14">
        <v>45135</v>
      </c>
      <c r="D91" s="15"/>
      <c r="E91" s="13" t="s">
        <v>384</v>
      </c>
      <c r="F91" s="13" t="s">
        <v>382</v>
      </c>
      <c r="G91" s="13" t="s">
        <v>382</v>
      </c>
      <c r="H91" s="13" t="s">
        <v>473</v>
      </c>
      <c r="I91" s="15"/>
      <c r="J91" s="44">
        <v>357000000</v>
      </c>
      <c r="K91" s="44">
        <f t="shared" si="2"/>
        <v>-357000000</v>
      </c>
      <c r="L91" s="44">
        <f>IF(I91=0,0,I91/LOOKUP(C91,Settings!$F$5:$F$20,Settings!$G$5:$G$20))</f>
        <v>0</v>
      </c>
      <c r="M91" s="44">
        <f>IF(J91=0,0,J91/LOOKUP(C91,Settings!$F$5:$F$20,Settings!$G$5:$G$20))</f>
        <v>31043.478260869564</v>
      </c>
      <c r="N91" s="44">
        <f t="shared" si="3"/>
        <v>-31043.478260869564</v>
      </c>
      <c r="O91" s="13" t="s">
        <v>385</v>
      </c>
    </row>
    <row r="92" spans="1:15" x14ac:dyDescent="0.2">
      <c r="A92" s="19">
        <v>90</v>
      </c>
      <c r="B92" s="19" t="s">
        <v>474</v>
      </c>
      <c r="C92" s="20">
        <v>45141</v>
      </c>
      <c r="D92" s="21"/>
      <c r="E92" s="19" t="s">
        <v>368</v>
      </c>
      <c r="F92" s="19" t="s">
        <v>369</v>
      </c>
      <c r="G92" s="19" t="s">
        <v>370</v>
      </c>
      <c r="H92" s="19" t="s">
        <v>474</v>
      </c>
      <c r="I92" s="21"/>
      <c r="J92" s="45">
        <v>7098745</v>
      </c>
      <c r="K92" s="45">
        <f t="shared" si="2"/>
        <v>-7098745</v>
      </c>
      <c r="L92" s="45">
        <f>IF(I92=0,0,I92/LOOKUP(C92,Settings!$F$5:$F$20,Settings!$G$5:$G$20))</f>
        <v>0</v>
      </c>
      <c r="M92" s="45">
        <f>IF(J92=0,0,J92/LOOKUP(C92,Settings!$F$5:$F$20,Settings!$G$5:$G$20))</f>
        <v>617.28217391304349</v>
      </c>
      <c r="N92" s="45">
        <f t="shared" si="3"/>
        <v>-617.28217391304349</v>
      </c>
      <c r="O92" s="21"/>
    </row>
    <row r="93" spans="1:15" x14ac:dyDescent="0.2">
      <c r="A93" s="13">
        <v>91</v>
      </c>
      <c r="B93" s="13" t="s">
        <v>475</v>
      </c>
      <c r="C93" s="14">
        <v>45148</v>
      </c>
      <c r="D93" s="15"/>
      <c r="E93" s="13" t="s">
        <v>372</v>
      </c>
      <c r="F93" s="13" t="s">
        <v>365</v>
      </c>
      <c r="G93" s="13" t="s">
        <v>365</v>
      </c>
      <c r="H93" s="13" t="s">
        <v>475</v>
      </c>
      <c r="I93" s="15"/>
      <c r="J93" s="44">
        <v>15000000</v>
      </c>
      <c r="K93" s="44">
        <f t="shared" si="2"/>
        <v>-15000000</v>
      </c>
      <c r="L93" s="44">
        <f>IF(I93=0,0,I93/LOOKUP(C93,Settings!$F$5:$F$20,Settings!$G$5:$G$20))</f>
        <v>0</v>
      </c>
      <c r="M93" s="44">
        <f>IF(J93=0,0,J93/LOOKUP(C93,Settings!$F$5:$F$20,Settings!$G$5:$G$20))</f>
        <v>1304.3478260869565</v>
      </c>
      <c r="N93" s="44">
        <f t="shared" si="3"/>
        <v>-1304.3478260869565</v>
      </c>
      <c r="O93" s="15"/>
    </row>
    <row r="94" spans="1:15" x14ac:dyDescent="0.2">
      <c r="A94" s="19">
        <v>92</v>
      </c>
      <c r="B94" s="19" t="s">
        <v>476</v>
      </c>
      <c r="C94" s="20">
        <v>45153</v>
      </c>
      <c r="D94" s="21"/>
      <c r="E94" s="19" t="s">
        <v>374</v>
      </c>
      <c r="F94" s="19" t="s">
        <v>365</v>
      </c>
      <c r="G94" s="19" t="s">
        <v>365</v>
      </c>
      <c r="H94" s="19" t="s">
        <v>476</v>
      </c>
      <c r="I94" s="21"/>
      <c r="J94" s="45">
        <v>6478161</v>
      </c>
      <c r="K94" s="45">
        <f t="shared" si="2"/>
        <v>-6478161</v>
      </c>
      <c r="L94" s="45">
        <f>IF(I94=0,0,I94/LOOKUP(C94,Settings!$F$5:$F$20,Settings!$G$5:$G$20))</f>
        <v>0</v>
      </c>
      <c r="M94" s="45">
        <f>IF(J94=0,0,J94/LOOKUP(C94,Settings!$F$5:$F$20,Settings!$G$5:$G$20))</f>
        <v>563.31834782608701</v>
      </c>
      <c r="N94" s="45">
        <f t="shared" si="3"/>
        <v>-563.31834782608701</v>
      </c>
      <c r="O94" s="21"/>
    </row>
    <row r="95" spans="1:15" x14ac:dyDescent="0.2">
      <c r="A95" s="13">
        <v>93</v>
      </c>
      <c r="B95" s="13" t="s">
        <v>477</v>
      </c>
      <c r="C95" s="14">
        <v>45153</v>
      </c>
      <c r="D95" s="15"/>
      <c r="E95" s="13" t="s">
        <v>376</v>
      </c>
      <c r="F95" s="13" t="s">
        <v>365</v>
      </c>
      <c r="G95" s="13" t="s">
        <v>365</v>
      </c>
      <c r="H95" s="13" t="s">
        <v>477</v>
      </c>
      <c r="I95" s="15"/>
      <c r="J95" s="44">
        <v>5706624</v>
      </c>
      <c r="K95" s="44">
        <f t="shared" si="2"/>
        <v>-5706624</v>
      </c>
      <c r="L95" s="44">
        <f>IF(I95=0,0,I95/LOOKUP(C95,Settings!$F$5:$F$20,Settings!$G$5:$G$20))</f>
        <v>0</v>
      </c>
      <c r="M95" s="44">
        <f>IF(J95=0,0,J95/LOOKUP(C95,Settings!$F$5:$F$20,Settings!$G$5:$G$20))</f>
        <v>496.22817391304346</v>
      </c>
      <c r="N95" s="44">
        <f t="shared" si="3"/>
        <v>-496.22817391304346</v>
      </c>
      <c r="O95" s="15"/>
    </row>
    <row r="96" spans="1:15" x14ac:dyDescent="0.2">
      <c r="A96" s="19">
        <v>94</v>
      </c>
      <c r="B96" s="19" t="s">
        <v>478</v>
      </c>
      <c r="C96" s="20">
        <v>45158</v>
      </c>
      <c r="D96" s="19" t="s">
        <v>479</v>
      </c>
      <c r="E96" s="21"/>
      <c r="F96" s="19" t="s">
        <v>224</v>
      </c>
      <c r="G96" s="19" t="s">
        <v>222</v>
      </c>
      <c r="H96" s="19" t="s">
        <v>89</v>
      </c>
      <c r="I96" s="21"/>
      <c r="J96" s="45">
        <v>94855236</v>
      </c>
      <c r="K96" s="45">
        <f t="shared" si="2"/>
        <v>-94855236</v>
      </c>
      <c r="L96" s="45">
        <f>IF(I96=0,0,I96/LOOKUP(C96,Settings!$F$5:$F$20,Settings!$G$5:$G$20))</f>
        <v>0</v>
      </c>
      <c r="M96" s="45">
        <f>IF(J96=0,0,J96/LOOKUP(C96,Settings!$F$5:$F$20,Settings!$G$5:$G$20))</f>
        <v>8248.2813913043483</v>
      </c>
      <c r="N96" s="45">
        <f t="shared" si="3"/>
        <v>-8248.2813913043483</v>
      </c>
      <c r="O96" s="19" t="s">
        <v>379</v>
      </c>
    </row>
    <row r="97" spans="1:15" x14ac:dyDescent="0.2">
      <c r="A97" s="13">
        <v>95</v>
      </c>
      <c r="B97" s="13" t="s">
        <v>480</v>
      </c>
      <c r="C97" s="14">
        <v>45158</v>
      </c>
      <c r="D97" s="15"/>
      <c r="E97" s="13" t="s">
        <v>381</v>
      </c>
      <c r="F97" s="13" t="s">
        <v>382</v>
      </c>
      <c r="G97" s="13" t="s">
        <v>382</v>
      </c>
      <c r="H97" s="13" t="s">
        <v>480</v>
      </c>
      <c r="I97" s="15"/>
      <c r="J97" s="44">
        <v>81307621</v>
      </c>
      <c r="K97" s="44">
        <f t="shared" si="2"/>
        <v>-81307621</v>
      </c>
      <c r="L97" s="44">
        <f>IF(I97=0,0,I97/LOOKUP(C97,Settings!$F$5:$F$20,Settings!$G$5:$G$20))</f>
        <v>0</v>
      </c>
      <c r="M97" s="44">
        <f>IF(J97=0,0,J97/LOOKUP(C97,Settings!$F$5:$F$20,Settings!$G$5:$G$20))</f>
        <v>7070.2279130434781</v>
      </c>
      <c r="N97" s="44">
        <f t="shared" si="3"/>
        <v>-7070.2279130434781</v>
      </c>
      <c r="O97" s="15"/>
    </row>
    <row r="98" spans="1:15" x14ac:dyDescent="0.2">
      <c r="A98" s="19">
        <v>96</v>
      </c>
      <c r="B98" s="19" t="s">
        <v>481</v>
      </c>
      <c r="C98" s="20">
        <v>45166</v>
      </c>
      <c r="D98" s="21"/>
      <c r="E98" s="19" t="s">
        <v>384</v>
      </c>
      <c r="F98" s="19" t="s">
        <v>382</v>
      </c>
      <c r="G98" s="19" t="s">
        <v>382</v>
      </c>
      <c r="H98" s="19" t="s">
        <v>481</v>
      </c>
      <c r="I98" s="21"/>
      <c r="J98" s="45">
        <v>357000000</v>
      </c>
      <c r="K98" s="45">
        <f t="shared" si="2"/>
        <v>-357000000</v>
      </c>
      <c r="L98" s="45">
        <f>IF(I98=0,0,I98/LOOKUP(C98,Settings!$F$5:$F$20,Settings!$G$5:$G$20))</f>
        <v>0</v>
      </c>
      <c r="M98" s="45">
        <f>IF(J98=0,0,J98/LOOKUP(C98,Settings!$F$5:$F$20,Settings!$G$5:$G$20))</f>
        <v>31043.478260869564</v>
      </c>
      <c r="N98" s="45">
        <f t="shared" si="3"/>
        <v>-31043.478260869564</v>
      </c>
      <c r="O98" s="19" t="s">
        <v>385</v>
      </c>
    </row>
    <row r="99" spans="1:15" x14ac:dyDescent="0.2">
      <c r="A99" s="13">
        <v>97</v>
      </c>
      <c r="B99" s="13" t="s">
        <v>482</v>
      </c>
      <c r="C99" s="14">
        <v>45179</v>
      </c>
      <c r="D99" s="15"/>
      <c r="E99" s="13" t="s">
        <v>372</v>
      </c>
      <c r="F99" s="13" t="s">
        <v>365</v>
      </c>
      <c r="G99" s="13" t="s">
        <v>365</v>
      </c>
      <c r="H99" s="13" t="s">
        <v>482</v>
      </c>
      <c r="I99" s="15"/>
      <c r="J99" s="44">
        <v>15000000</v>
      </c>
      <c r="K99" s="44">
        <f t="shared" si="2"/>
        <v>-15000000</v>
      </c>
      <c r="L99" s="44">
        <f>IF(I99=0,0,I99/LOOKUP(C99,Settings!$F$5:$F$20,Settings!$G$5:$G$20))</f>
        <v>0</v>
      </c>
      <c r="M99" s="44">
        <f>IF(J99=0,0,J99/LOOKUP(C99,Settings!$F$5:$F$20,Settings!$G$5:$G$20))</f>
        <v>1304.3478260869565</v>
      </c>
      <c r="N99" s="44">
        <f t="shared" si="3"/>
        <v>-1304.3478260869565</v>
      </c>
      <c r="O99" s="15"/>
    </row>
    <row r="100" spans="1:15" x14ac:dyDescent="0.2">
      <c r="A100" s="19">
        <v>98</v>
      </c>
      <c r="B100" s="19" t="s">
        <v>483</v>
      </c>
      <c r="C100" s="20">
        <v>45184</v>
      </c>
      <c r="D100" s="21"/>
      <c r="E100" s="19" t="s">
        <v>374</v>
      </c>
      <c r="F100" s="19" t="s">
        <v>365</v>
      </c>
      <c r="G100" s="19" t="s">
        <v>365</v>
      </c>
      <c r="H100" s="19" t="s">
        <v>483</v>
      </c>
      <c r="I100" s="21"/>
      <c r="J100" s="45">
        <v>8698706</v>
      </c>
      <c r="K100" s="45">
        <f t="shared" si="2"/>
        <v>-8698706</v>
      </c>
      <c r="L100" s="45">
        <f>IF(I100=0,0,I100/LOOKUP(C100,Settings!$F$5:$F$20,Settings!$G$5:$G$20))</f>
        <v>0</v>
      </c>
      <c r="M100" s="45">
        <f>IF(J100=0,0,J100/LOOKUP(C100,Settings!$F$5:$F$20,Settings!$G$5:$G$20))</f>
        <v>756.40921739130431</v>
      </c>
      <c r="N100" s="45">
        <f t="shared" si="3"/>
        <v>-756.40921739130431</v>
      </c>
      <c r="O100" s="21"/>
    </row>
    <row r="101" spans="1:15" x14ac:dyDescent="0.2">
      <c r="A101" s="13">
        <v>99</v>
      </c>
      <c r="B101" s="13" t="s">
        <v>484</v>
      </c>
      <c r="C101" s="14">
        <v>45184</v>
      </c>
      <c r="D101" s="15"/>
      <c r="E101" s="13" t="s">
        <v>376</v>
      </c>
      <c r="F101" s="13" t="s">
        <v>365</v>
      </c>
      <c r="G101" s="13" t="s">
        <v>365</v>
      </c>
      <c r="H101" s="13" t="s">
        <v>484</v>
      </c>
      <c r="I101" s="15"/>
      <c r="J101" s="44">
        <v>5499045</v>
      </c>
      <c r="K101" s="44">
        <f t="shared" si="2"/>
        <v>-5499045</v>
      </c>
      <c r="L101" s="44">
        <f>IF(I101=0,0,I101/LOOKUP(C101,Settings!$F$5:$F$20,Settings!$G$5:$G$20))</f>
        <v>0</v>
      </c>
      <c r="M101" s="44">
        <f>IF(J101=0,0,J101/LOOKUP(C101,Settings!$F$5:$F$20,Settings!$G$5:$G$20))</f>
        <v>478.17782608695654</v>
      </c>
      <c r="N101" s="44">
        <f t="shared" si="3"/>
        <v>-478.17782608695654</v>
      </c>
      <c r="O101" s="15"/>
    </row>
    <row r="102" spans="1:15" x14ac:dyDescent="0.2">
      <c r="A102" s="19">
        <v>100</v>
      </c>
      <c r="B102" s="19" t="s">
        <v>485</v>
      </c>
      <c r="C102" s="20">
        <v>45189</v>
      </c>
      <c r="D102" s="21"/>
      <c r="E102" s="19" t="s">
        <v>381</v>
      </c>
      <c r="F102" s="19" t="s">
        <v>382</v>
      </c>
      <c r="G102" s="19" t="s">
        <v>382</v>
      </c>
      <c r="H102" s="19" t="s">
        <v>485</v>
      </c>
      <c r="I102" s="21"/>
      <c r="J102" s="45">
        <v>83691855</v>
      </c>
      <c r="K102" s="45">
        <f t="shared" si="2"/>
        <v>-83691855</v>
      </c>
      <c r="L102" s="45">
        <f>IF(I102=0,0,I102/LOOKUP(C102,Settings!$F$5:$F$20,Settings!$G$5:$G$20))</f>
        <v>0</v>
      </c>
      <c r="M102" s="45">
        <f>IF(J102=0,0,J102/LOOKUP(C102,Settings!$F$5:$F$20,Settings!$G$5:$G$20))</f>
        <v>7277.5526086956525</v>
      </c>
      <c r="N102" s="45">
        <f t="shared" si="3"/>
        <v>-7277.5526086956525</v>
      </c>
      <c r="O102" s="21"/>
    </row>
    <row r="103" spans="1:15" x14ac:dyDescent="0.2">
      <c r="A103" s="13">
        <v>101</v>
      </c>
      <c r="B103" s="13" t="s">
        <v>486</v>
      </c>
      <c r="C103" s="14">
        <v>45197</v>
      </c>
      <c r="D103" s="15"/>
      <c r="E103" s="13" t="s">
        <v>384</v>
      </c>
      <c r="F103" s="13" t="s">
        <v>382</v>
      </c>
      <c r="G103" s="13" t="s">
        <v>382</v>
      </c>
      <c r="H103" s="13" t="s">
        <v>486</v>
      </c>
      <c r="I103" s="15"/>
      <c r="J103" s="44">
        <v>357000000</v>
      </c>
      <c r="K103" s="44">
        <f t="shared" si="2"/>
        <v>-357000000</v>
      </c>
      <c r="L103" s="44">
        <f>IF(I103=0,0,I103/LOOKUP(C103,Settings!$F$5:$F$20,Settings!$G$5:$G$20))</f>
        <v>0</v>
      </c>
      <c r="M103" s="44">
        <f>IF(J103=0,0,J103/LOOKUP(C103,Settings!$F$5:$F$20,Settings!$G$5:$G$20))</f>
        <v>31043.478260869564</v>
      </c>
      <c r="N103" s="44">
        <f t="shared" si="3"/>
        <v>-31043.478260869564</v>
      </c>
      <c r="O103" s="13" t="s">
        <v>385</v>
      </c>
    </row>
    <row r="104" spans="1:15" x14ac:dyDescent="0.2">
      <c r="A104" s="19">
        <v>102</v>
      </c>
      <c r="B104" s="19" t="s">
        <v>487</v>
      </c>
      <c r="C104" s="20">
        <v>45197</v>
      </c>
      <c r="D104" s="21"/>
      <c r="E104" s="19" t="s">
        <v>387</v>
      </c>
      <c r="F104" s="19" t="s">
        <v>382</v>
      </c>
      <c r="G104" s="19" t="s">
        <v>222</v>
      </c>
      <c r="H104" s="19" t="s">
        <v>487</v>
      </c>
      <c r="I104" s="21"/>
      <c r="J104" s="45">
        <v>51603221</v>
      </c>
      <c r="K104" s="45">
        <f t="shared" si="2"/>
        <v>-51603221</v>
      </c>
      <c r="L104" s="45">
        <f>IF(I104=0,0,I104/LOOKUP(C104,Settings!$F$5:$F$20,Settings!$G$5:$G$20))</f>
        <v>0</v>
      </c>
      <c r="M104" s="45">
        <f>IF(J104=0,0,J104/LOOKUP(C104,Settings!$F$5:$F$20,Settings!$G$5:$G$20))</f>
        <v>4487.2366086956517</v>
      </c>
      <c r="N104" s="45">
        <f t="shared" si="3"/>
        <v>-4487.2366086956517</v>
      </c>
      <c r="O104" s="21"/>
    </row>
    <row r="105" spans="1:15" x14ac:dyDescent="0.2">
      <c r="A105" s="13">
        <v>103</v>
      </c>
      <c r="B105" s="13" t="s">
        <v>488</v>
      </c>
      <c r="C105" s="14">
        <v>45209</v>
      </c>
      <c r="D105" s="15"/>
      <c r="E105" s="13" t="s">
        <v>372</v>
      </c>
      <c r="F105" s="13" t="s">
        <v>365</v>
      </c>
      <c r="G105" s="13" t="s">
        <v>365</v>
      </c>
      <c r="H105" s="13" t="s">
        <v>488</v>
      </c>
      <c r="I105" s="15"/>
      <c r="J105" s="44">
        <v>15000000</v>
      </c>
      <c r="K105" s="44">
        <f t="shared" si="2"/>
        <v>-15000000</v>
      </c>
      <c r="L105" s="44">
        <f>IF(I105=0,0,I105/LOOKUP(C105,Settings!$F$5:$F$20,Settings!$G$5:$G$20))</f>
        <v>0</v>
      </c>
      <c r="M105" s="44">
        <f>IF(J105=0,0,J105/LOOKUP(C105,Settings!$F$5:$F$20,Settings!$G$5:$G$20))</f>
        <v>1282.051282051282</v>
      </c>
      <c r="N105" s="44">
        <f t="shared" si="3"/>
        <v>-1282.051282051282</v>
      </c>
      <c r="O105" s="15"/>
    </row>
    <row r="106" spans="1:15" x14ac:dyDescent="0.2">
      <c r="A106" s="19">
        <v>104</v>
      </c>
      <c r="B106" s="19" t="s">
        <v>489</v>
      </c>
      <c r="C106" s="20">
        <v>45214</v>
      </c>
      <c r="D106" s="21"/>
      <c r="E106" s="19" t="s">
        <v>374</v>
      </c>
      <c r="F106" s="19" t="s">
        <v>365</v>
      </c>
      <c r="G106" s="19" t="s">
        <v>365</v>
      </c>
      <c r="H106" s="19" t="s">
        <v>489</v>
      </c>
      <c r="I106" s="21"/>
      <c r="J106" s="45">
        <v>9233488</v>
      </c>
      <c r="K106" s="45">
        <f t="shared" si="2"/>
        <v>-9233488</v>
      </c>
      <c r="L106" s="45">
        <f>IF(I106=0,0,I106/LOOKUP(C106,Settings!$F$5:$F$20,Settings!$G$5:$G$20))</f>
        <v>0</v>
      </c>
      <c r="M106" s="45">
        <f>IF(J106=0,0,J106/LOOKUP(C106,Settings!$F$5:$F$20,Settings!$G$5:$G$20))</f>
        <v>789.18700854700853</v>
      </c>
      <c r="N106" s="45">
        <f t="shared" si="3"/>
        <v>-789.18700854700853</v>
      </c>
      <c r="O106" s="21"/>
    </row>
    <row r="107" spans="1:15" x14ac:dyDescent="0.2">
      <c r="A107" s="13">
        <v>105</v>
      </c>
      <c r="B107" s="13" t="s">
        <v>490</v>
      </c>
      <c r="C107" s="14">
        <v>45214</v>
      </c>
      <c r="D107" s="15"/>
      <c r="E107" s="13" t="s">
        <v>376</v>
      </c>
      <c r="F107" s="13" t="s">
        <v>365</v>
      </c>
      <c r="G107" s="13" t="s">
        <v>365</v>
      </c>
      <c r="H107" s="13" t="s">
        <v>490</v>
      </c>
      <c r="I107" s="15"/>
      <c r="J107" s="44">
        <v>5001813</v>
      </c>
      <c r="K107" s="44">
        <f t="shared" si="2"/>
        <v>-5001813</v>
      </c>
      <c r="L107" s="44">
        <f>IF(I107=0,0,I107/LOOKUP(C107,Settings!$F$5:$F$20,Settings!$G$5:$G$20))</f>
        <v>0</v>
      </c>
      <c r="M107" s="44">
        <f>IF(J107=0,0,J107/LOOKUP(C107,Settings!$F$5:$F$20,Settings!$G$5:$G$20))</f>
        <v>427.50538461538463</v>
      </c>
      <c r="N107" s="44">
        <f t="shared" si="3"/>
        <v>-427.50538461538463</v>
      </c>
      <c r="O107" s="15"/>
    </row>
    <row r="108" spans="1:15" x14ac:dyDescent="0.2">
      <c r="A108" s="19">
        <v>106</v>
      </c>
      <c r="B108" s="19" t="s">
        <v>491</v>
      </c>
      <c r="C108" s="20">
        <v>45219</v>
      </c>
      <c r="D108" s="19" t="s">
        <v>492</v>
      </c>
      <c r="E108" s="21"/>
      <c r="F108" s="19" t="s">
        <v>224</v>
      </c>
      <c r="G108" s="19" t="s">
        <v>222</v>
      </c>
      <c r="H108" s="19" t="s">
        <v>97</v>
      </c>
      <c r="I108" s="21"/>
      <c r="J108" s="45">
        <v>105005875</v>
      </c>
      <c r="K108" s="45">
        <f t="shared" si="2"/>
        <v>-105005875</v>
      </c>
      <c r="L108" s="45">
        <f>IF(I108=0,0,I108/LOOKUP(C108,Settings!$F$5:$F$20,Settings!$G$5:$G$20))</f>
        <v>0</v>
      </c>
      <c r="M108" s="45">
        <f>IF(J108=0,0,J108/LOOKUP(C108,Settings!$F$5:$F$20,Settings!$G$5:$G$20))</f>
        <v>8974.8611111111113</v>
      </c>
      <c r="N108" s="45">
        <f t="shared" si="3"/>
        <v>-8974.8611111111113</v>
      </c>
      <c r="O108" s="19" t="s">
        <v>379</v>
      </c>
    </row>
    <row r="109" spans="1:15" x14ac:dyDescent="0.2">
      <c r="A109" s="13">
        <v>107</v>
      </c>
      <c r="B109" s="13" t="s">
        <v>493</v>
      </c>
      <c r="C109" s="14">
        <v>45219</v>
      </c>
      <c r="D109" s="15"/>
      <c r="E109" s="13" t="s">
        <v>381</v>
      </c>
      <c r="F109" s="13" t="s">
        <v>382</v>
      </c>
      <c r="G109" s="13" t="s">
        <v>382</v>
      </c>
      <c r="H109" s="13" t="s">
        <v>493</v>
      </c>
      <c r="I109" s="15"/>
      <c r="J109" s="44">
        <v>90451012</v>
      </c>
      <c r="K109" s="44">
        <f t="shared" si="2"/>
        <v>-90451012</v>
      </c>
      <c r="L109" s="44">
        <f>IF(I109=0,0,I109/LOOKUP(C109,Settings!$F$5:$F$20,Settings!$G$5:$G$20))</f>
        <v>0</v>
      </c>
      <c r="M109" s="44">
        <f>IF(J109=0,0,J109/LOOKUP(C109,Settings!$F$5:$F$20,Settings!$G$5:$G$20))</f>
        <v>7730.8557264957262</v>
      </c>
      <c r="N109" s="44">
        <f t="shared" si="3"/>
        <v>-7730.8557264957262</v>
      </c>
      <c r="O109" s="15"/>
    </row>
    <row r="110" spans="1:15" x14ac:dyDescent="0.2">
      <c r="A110" s="19">
        <v>108</v>
      </c>
      <c r="B110" s="19" t="s">
        <v>494</v>
      </c>
      <c r="C110" s="20">
        <v>45222</v>
      </c>
      <c r="D110" s="21"/>
      <c r="E110" s="19" t="s">
        <v>368</v>
      </c>
      <c r="F110" s="19" t="s">
        <v>369</v>
      </c>
      <c r="G110" s="19" t="s">
        <v>370</v>
      </c>
      <c r="H110" s="19" t="s">
        <v>494</v>
      </c>
      <c r="I110" s="21"/>
      <c r="J110" s="45">
        <v>7661619</v>
      </c>
      <c r="K110" s="45">
        <f t="shared" si="2"/>
        <v>-7661619</v>
      </c>
      <c r="L110" s="45">
        <f>IF(I110=0,0,I110/LOOKUP(C110,Settings!$F$5:$F$20,Settings!$G$5:$G$20))</f>
        <v>0</v>
      </c>
      <c r="M110" s="45">
        <f>IF(J110=0,0,J110/LOOKUP(C110,Settings!$F$5:$F$20,Settings!$G$5:$G$20))</f>
        <v>654.83923076923077</v>
      </c>
      <c r="N110" s="45">
        <f t="shared" si="3"/>
        <v>-654.83923076923077</v>
      </c>
      <c r="O110" s="21"/>
    </row>
    <row r="111" spans="1:15" x14ac:dyDescent="0.2">
      <c r="A111" s="13">
        <v>109</v>
      </c>
      <c r="B111" s="13" t="s">
        <v>495</v>
      </c>
      <c r="C111" s="14">
        <v>45227</v>
      </c>
      <c r="D111" s="15"/>
      <c r="E111" s="13" t="s">
        <v>384</v>
      </c>
      <c r="F111" s="13" t="s">
        <v>382</v>
      </c>
      <c r="G111" s="13" t="s">
        <v>382</v>
      </c>
      <c r="H111" s="13" t="s">
        <v>495</v>
      </c>
      <c r="I111" s="15"/>
      <c r="J111" s="44">
        <v>357000000</v>
      </c>
      <c r="K111" s="44">
        <f t="shared" si="2"/>
        <v>-357000000</v>
      </c>
      <c r="L111" s="44">
        <f>IF(I111=0,0,I111/LOOKUP(C111,Settings!$F$5:$F$20,Settings!$G$5:$G$20))</f>
        <v>0</v>
      </c>
      <c r="M111" s="44">
        <f>IF(J111=0,0,J111/LOOKUP(C111,Settings!$F$5:$F$20,Settings!$G$5:$G$20))</f>
        <v>30512.820512820512</v>
      </c>
      <c r="N111" s="44">
        <f t="shared" si="3"/>
        <v>-30512.820512820512</v>
      </c>
      <c r="O111" s="13" t="s">
        <v>385</v>
      </c>
    </row>
    <row r="112" spans="1:15" x14ac:dyDescent="0.2">
      <c r="A112" s="19">
        <v>110</v>
      </c>
      <c r="B112" s="19" t="s">
        <v>496</v>
      </c>
      <c r="C112" s="20">
        <v>45227</v>
      </c>
      <c r="D112" s="21"/>
      <c r="E112" s="19" t="s">
        <v>387</v>
      </c>
      <c r="F112" s="19" t="s">
        <v>382</v>
      </c>
      <c r="G112" s="19" t="s">
        <v>222</v>
      </c>
      <c r="H112" s="19" t="s">
        <v>496</v>
      </c>
      <c r="I112" s="21"/>
      <c r="J112" s="45">
        <v>60929428</v>
      </c>
      <c r="K112" s="45">
        <f t="shared" si="2"/>
        <v>-60929428</v>
      </c>
      <c r="L112" s="45">
        <f>IF(I112=0,0,I112/LOOKUP(C112,Settings!$F$5:$F$20,Settings!$G$5:$G$20))</f>
        <v>0</v>
      </c>
      <c r="M112" s="45">
        <f>IF(J112=0,0,J112/LOOKUP(C112,Settings!$F$5:$F$20,Settings!$G$5:$G$20))</f>
        <v>5207.6434188034191</v>
      </c>
      <c r="N112" s="45">
        <f t="shared" si="3"/>
        <v>-5207.6434188034191</v>
      </c>
      <c r="O112" s="21"/>
    </row>
    <row r="113" spans="1:15" x14ac:dyDescent="0.2">
      <c r="A113" s="13">
        <v>111</v>
      </c>
      <c r="B113" s="13" t="s">
        <v>497</v>
      </c>
      <c r="C113" s="14">
        <v>45240</v>
      </c>
      <c r="D113" s="15"/>
      <c r="E113" s="13" t="s">
        <v>372</v>
      </c>
      <c r="F113" s="13" t="s">
        <v>365</v>
      </c>
      <c r="G113" s="13" t="s">
        <v>365</v>
      </c>
      <c r="H113" s="13" t="s">
        <v>497</v>
      </c>
      <c r="I113" s="15"/>
      <c r="J113" s="44">
        <v>15000000</v>
      </c>
      <c r="K113" s="44">
        <f t="shared" si="2"/>
        <v>-15000000</v>
      </c>
      <c r="L113" s="44">
        <f>IF(I113=0,0,I113/LOOKUP(C113,Settings!$F$5:$F$20,Settings!$G$5:$G$20))</f>
        <v>0</v>
      </c>
      <c r="M113" s="44">
        <f>IF(J113=0,0,J113/LOOKUP(C113,Settings!$F$5:$F$20,Settings!$G$5:$G$20))</f>
        <v>1282.051282051282</v>
      </c>
      <c r="N113" s="44">
        <f t="shared" si="3"/>
        <v>-1282.051282051282</v>
      </c>
      <c r="O113" s="15"/>
    </row>
    <row r="114" spans="1:15" x14ac:dyDescent="0.2">
      <c r="A114" s="19">
        <v>112</v>
      </c>
      <c r="B114" s="19" t="s">
        <v>498</v>
      </c>
      <c r="C114" s="20">
        <v>45245</v>
      </c>
      <c r="D114" s="21"/>
      <c r="E114" s="19" t="s">
        <v>374</v>
      </c>
      <c r="F114" s="19" t="s">
        <v>365</v>
      </c>
      <c r="G114" s="19" t="s">
        <v>365</v>
      </c>
      <c r="H114" s="19" t="s">
        <v>498</v>
      </c>
      <c r="I114" s="21"/>
      <c r="J114" s="45">
        <v>7197434</v>
      </c>
      <c r="K114" s="45">
        <f t="shared" si="2"/>
        <v>-7197434</v>
      </c>
      <c r="L114" s="45">
        <f>IF(I114=0,0,I114/LOOKUP(C114,Settings!$F$5:$F$20,Settings!$G$5:$G$20))</f>
        <v>0</v>
      </c>
      <c r="M114" s="45">
        <f>IF(J114=0,0,J114/LOOKUP(C114,Settings!$F$5:$F$20,Settings!$G$5:$G$20))</f>
        <v>615.16529914529917</v>
      </c>
      <c r="N114" s="45">
        <f t="shared" si="3"/>
        <v>-615.16529914529917</v>
      </c>
      <c r="O114" s="21"/>
    </row>
    <row r="115" spans="1:15" x14ac:dyDescent="0.2">
      <c r="A115" s="13">
        <v>113</v>
      </c>
      <c r="B115" s="13" t="s">
        <v>499</v>
      </c>
      <c r="C115" s="14">
        <v>45245</v>
      </c>
      <c r="D115" s="15"/>
      <c r="E115" s="13" t="s">
        <v>376</v>
      </c>
      <c r="F115" s="13" t="s">
        <v>365</v>
      </c>
      <c r="G115" s="13" t="s">
        <v>365</v>
      </c>
      <c r="H115" s="13" t="s">
        <v>499</v>
      </c>
      <c r="I115" s="15"/>
      <c r="J115" s="44">
        <v>5655270</v>
      </c>
      <c r="K115" s="44">
        <f t="shared" si="2"/>
        <v>-5655270</v>
      </c>
      <c r="L115" s="44">
        <f>IF(I115=0,0,I115/LOOKUP(C115,Settings!$F$5:$F$20,Settings!$G$5:$G$20))</f>
        <v>0</v>
      </c>
      <c r="M115" s="44">
        <f>IF(J115=0,0,J115/LOOKUP(C115,Settings!$F$5:$F$20,Settings!$G$5:$G$20))</f>
        <v>483.35641025641024</v>
      </c>
      <c r="N115" s="44">
        <f t="shared" si="3"/>
        <v>-483.35641025641024</v>
      </c>
      <c r="O115" s="15"/>
    </row>
    <row r="116" spans="1:15" x14ac:dyDescent="0.2">
      <c r="A116" s="19">
        <v>114</v>
      </c>
      <c r="B116" s="19" t="s">
        <v>500</v>
      </c>
      <c r="C116" s="20">
        <v>45250</v>
      </c>
      <c r="D116" s="21"/>
      <c r="E116" s="19" t="s">
        <v>381</v>
      </c>
      <c r="F116" s="19" t="s">
        <v>382</v>
      </c>
      <c r="G116" s="19" t="s">
        <v>382</v>
      </c>
      <c r="H116" s="19" t="s">
        <v>500</v>
      </c>
      <c r="I116" s="21"/>
      <c r="J116" s="45">
        <v>91649091</v>
      </c>
      <c r="K116" s="45">
        <f t="shared" si="2"/>
        <v>-91649091</v>
      </c>
      <c r="L116" s="45">
        <f>IF(I116=0,0,I116/LOOKUP(C116,Settings!$F$5:$F$20,Settings!$G$5:$G$20))</f>
        <v>0</v>
      </c>
      <c r="M116" s="45">
        <f>IF(J116=0,0,J116/LOOKUP(C116,Settings!$F$5:$F$20,Settings!$G$5:$G$20))</f>
        <v>7833.2556410256411</v>
      </c>
      <c r="N116" s="45">
        <f t="shared" si="3"/>
        <v>-7833.2556410256411</v>
      </c>
      <c r="O116" s="21"/>
    </row>
    <row r="117" spans="1:15" x14ac:dyDescent="0.2">
      <c r="A117" s="13">
        <v>115</v>
      </c>
      <c r="B117" s="13" t="s">
        <v>501</v>
      </c>
      <c r="C117" s="14">
        <v>45252</v>
      </c>
      <c r="D117" s="15"/>
      <c r="E117" s="13" t="s">
        <v>368</v>
      </c>
      <c r="F117" s="13" t="s">
        <v>369</v>
      </c>
      <c r="G117" s="13" t="s">
        <v>370</v>
      </c>
      <c r="H117" s="13" t="s">
        <v>501</v>
      </c>
      <c r="I117" s="15"/>
      <c r="J117" s="44">
        <v>7780186</v>
      </c>
      <c r="K117" s="44">
        <f t="shared" si="2"/>
        <v>-7780186</v>
      </c>
      <c r="L117" s="44">
        <f>IF(I117=0,0,I117/LOOKUP(C117,Settings!$F$5:$F$20,Settings!$G$5:$G$20))</f>
        <v>0</v>
      </c>
      <c r="M117" s="44">
        <f>IF(J117=0,0,J117/LOOKUP(C117,Settings!$F$5:$F$20,Settings!$G$5:$G$20))</f>
        <v>664.9731623931624</v>
      </c>
      <c r="N117" s="44">
        <f t="shared" si="3"/>
        <v>-664.9731623931624</v>
      </c>
      <c r="O117" s="15"/>
    </row>
    <row r="118" spans="1:15" x14ac:dyDescent="0.2">
      <c r="A118" s="19">
        <v>116</v>
      </c>
      <c r="B118" s="19" t="s">
        <v>502</v>
      </c>
      <c r="C118" s="20">
        <v>45258</v>
      </c>
      <c r="D118" s="21"/>
      <c r="E118" s="19" t="s">
        <v>384</v>
      </c>
      <c r="F118" s="19" t="s">
        <v>382</v>
      </c>
      <c r="G118" s="19" t="s">
        <v>382</v>
      </c>
      <c r="H118" s="19" t="s">
        <v>502</v>
      </c>
      <c r="I118" s="21"/>
      <c r="J118" s="45">
        <v>357000000</v>
      </c>
      <c r="K118" s="45">
        <f t="shared" si="2"/>
        <v>-357000000</v>
      </c>
      <c r="L118" s="45">
        <f>IF(I118=0,0,I118/LOOKUP(C118,Settings!$F$5:$F$20,Settings!$G$5:$G$20))</f>
        <v>0</v>
      </c>
      <c r="M118" s="45">
        <f>IF(J118=0,0,J118/LOOKUP(C118,Settings!$F$5:$F$20,Settings!$G$5:$G$20))</f>
        <v>30512.820512820512</v>
      </c>
      <c r="N118" s="45">
        <f t="shared" si="3"/>
        <v>-30512.820512820512</v>
      </c>
      <c r="O118" s="19" t="s">
        <v>385</v>
      </c>
    </row>
    <row r="119" spans="1:15" x14ac:dyDescent="0.2">
      <c r="A119" s="13">
        <v>117</v>
      </c>
      <c r="B119" s="13" t="s">
        <v>503</v>
      </c>
      <c r="C119" s="14">
        <v>45270</v>
      </c>
      <c r="D119" s="15"/>
      <c r="E119" s="13" t="s">
        <v>372</v>
      </c>
      <c r="F119" s="13" t="s">
        <v>365</v>
      </c>
      <c r="G119" s="13" t="s">
        <v>365</v>
      </c>
      <c r="H119" s="13" t="s">
        <v>503</v>
      </c>
      <c r="I119" s="15"/>
      <c r="J119" s="44">
        <v>15000000</v>
      </c>
      <c r="K119" s="44">
        <f t="shared" si="2"/>
        <v>-15000000</v>
      </c>
      <c r="L119" s="44">
        <f>IF(I119=0,0,I119/LOOKUP(C119,Settings!$F$5:$F$20,Settings!$G$5:$G$20))</f>
        <v>0</v>
      </c>
      <c r="M119" s="44">
        <f>IF(J119=0,0,J119/LOOKUP(C119,Settings!$F$5:$F$20,Settings!$G$5:$G$20))</f>
        <v>1282.051282051282</v>
      </c>
      <c r="N119" s="44">
        <f t="shared" si="3"/>
        <v>-1282.051282051282</v>
      </c>
      <c r="O119" s="15"/>
    </row>
    <row r="120" spans="1:15" x14ac:dyDescent="0.2">
      <c r="A120" s="19">
        <v>118</v>
      </c>
      <c r="B120" s="19" t="s">
        <v>504</v>
      </c>
      <c r="C120" s="20">
        <v>45275</v>
      </c>
      <c r="D120" s="21"/>
      <c r="E120" s="19" t="s">
        <v>374</v>
      </c>
      <c r="F120" s="19" t="s">
        <v>365</v>
      </c>
      <c r="G120" s="19" t="s">
        <v>365</v>
      </c>
      <c r="H120" s="19" t="s">
        <v>504</v>
      </c>
      <c r="I120" s="21"/>
      <c r="J120" s="45">
        <v>7816234</v>
      </c>
      <c r="K120" s="45">
        <f t="shared" si="2"/>
        <v>-7816234</v>
      </c>
      <c r="L120" s="45">
        <f>IF(I120=0,0,I120/LOOKUP(C120,Settings!$F$5:$F$20,Settings!$G$5:$G$20))</f>
        <v>0</v>
      </c>
      <c r="M120" s="45">
        <f>IF(J120=0,0,J120/LOOKUP(C120,Settings!$F$5:$F$20,Settings!$G$5:$G$20))</f>
        <v>668.05418803418809</v>
      </c>
      <c r="N120" s="45">
        <f t="shared" si="3"/>
        <v>-668.05418803418809</v>
      </c>
      <c r="O120" s="21"/>
    </row>
    <row r="121" spans="1:15" x14ac:dyDescent="0.2">
      <c r="A121" s="13">
        <v>119</v>
      </c>
      <c r="B121" s="13" t="s">
        <v>505</v>
      </c>
      <c r="C121" s="14">
        <v>45275</v>
      </c>
      <c r="D121" s="15"/>
      <c r="E121" s="13" t="s">
        <v>376</v>
      </c>
      <c r="F121" s="13" t="s">
        <v>365</v>
      </c>
      <c r="G121" s="13" t="s">
        <v>365</v>
      </c>
      <c r="H121" s="13" t="s">
        <v>505</v>
      </c>
      <c r="I121" s="15"/>
      <c r="J121" s="44">
        <v>6853055</v>
      </c>
      <c r="K121" s="44">
        <f t="shared" si="2"/>
        <v>-6853055</v>
      </c>
      <c r="L121" s="44">
        <f>IF(I121=0,0,I121/LOOKUP(C121,Settings!$F$5:$F$20,Settings!$G$5:$G$20))</f>
        <v>0</v>
      </c>
      <c r="M121" s="44">
        <f>IF(J121=0,0,J121/LOOKUP(C121,Settings!$F$5:$F$20,Settings!$G$5:$G$20))</f>
        <v>585.73119658119663</v>
      </c>
      <c r="N121" s="44">
        <f t="shared" si="3"/>
        <v>-585.73119658119663</v>
      </c>
      <c r="O121" s="15"/>
    </row>
    <row r="122" spans="1:15" x14ac:dyDescent="0.2">
      <c r="A122" s="19">
        <v>120</v>
      </c>
      <c r="B122" s="19" t="s">
        <v>506</v>
      </c>
      <c r="C122" s="20">
        <v>45280</v>
      </c>
      <c r="D122" s="19" t="s">
        <v>507</v>
      </c>
      <c r="E122" s="21"/>
      <c r="F122" s="19" t="s">
        <v>224</v>
      </c>
      <c r="G122" s="19" t="s">
        <v>222</v>
      </c>
      <c r="H122" s="19" t="s">
        <v>106</v>
      </c>
      <c r="I122" s="21"/>
      <c r="J122" s="45">
        <v>148242620</v>
      </c>
      <c r="K122" s="45">
        <f t="shared" si="2"/>
        <v>-148242620</v>
      </c>
      <c r="L122" s="45">
        <f>IF(I122=0,0,I122/LOOKUP(C122,Settings!$F$5:$F$20,Settings!$G$5:$G$20))</f>
        <v>0</v>
      </c>
      <c r="M122" s="45">
        <f>IF(J122=0,0,J122/LOOKUP(C122,Settings!$F$5:$F$20,Settings!$G$5:$G$20))</f>
        <v>12670.309401709401</v>
      </c>
      <c r="N122" s="45">
        <f t="shared" si="3"/>
        <v>-12670.309401709401</v>
      </c>
      <c r="O122" s="19" t="s">
        <v>379</v>
      </c>
    </row>
    <row r="123" spans="1:15" x14ac:dyDescent="0.2">
      <c r="A123" s="13">
        <v>121</v>
      </c>
      <c r="B123" s="13" t="s">
        <v>508</v>
      </c>
      <c r="C123" s="14">
        <v>45280</v>
      </c>
      <c r="D123" s="15"/>
      <c r="E123" s="13" t="s">
        <v>381</v>
      </c>
      <c r="F123" s="13" t="s">
        <v>382</v>
      </c>
      <c r="G123" s="13" t="s">
        <v>382</v>
      </c>
      <c r="H123" s="13" t="s">
        <v>508</v>
      </c>
      <c r="I123" s="15"/>
      <c r="J123" s="44">
        <v>91077951</v>
      </c>
      <c r="K123" s="44">
        <f t="shared" si="2"/>
        <v>-91077951</v>
      </c>
      <c r="L123" s="44">
        <f>IF(I123=0,0,I123/LOOKUP(C123,Settings!$F$5:$F$20,Settings!$G$5:$G$20))</f>
        <v>0</v>
      </c>
      <c r="M123" s="44">
        <f>IF(J123=0,0,J123/LOOKUP(C123,Settings!$F$5:$F$20,Settings!$G$5:$G$20))</f>
        <v>7784.4402564102566</v>
      </c>
      <c r="N123" s="44">
        <f t="shared" si="3"/>
        <v>-7784.4402564102566</v>
      </c>
      <c r="O123" s="15"/>
    </row>
    <row r="124" spans="1:15" x14ac:dyDescent="0.2">
      <c r="A124" s="19">
        <v>122</v>
      </c>
      <c r="B124" s="19" t="s">
        <v>509</v>
      </c>
      <c r="C124" s="20">
        <v>45288</v>
      </c>
      <c r="D124" s="21"/>
      <c r="E124" s="19" t="s">
        <v>384</v>
      </c>
      <c r="F124" s="19" t="s">
        <v>382</v>
      </c>
      <c r="G124" s="19" t="s">
        <v>382</v>
      </c>
      <c r="H124" s="19" t="s">
        <v>509</v>
      </c>
      <c r="I124" s="21"/>
      <c r="J124" s="45">
        <v>357000000</v>
      </c>
      <c r="K124" s="45">
        <f t="shared" si="2"/>
        <v>-357000000</v>
      </c>
      <c r="L124" s="45">
        <f>IF(I124=0,0,I124/LOOKUP(C124,Settings!$F$5:$F$20,Settings!$G$5:$G$20))</f>
        <v>0</v>
      </c>
      <c r="M124" s="45">
        <f>IF(J124=0,0,J124/LOOKUP(C124,Settings!$F$5:$F$20,Settings!$G$5:$G$20))</f>
        <v>30512.820512820512</v>
      </c>
      <c r="N124" s="45">
        <f t="shared" si="3"/>
        <v>-30512.820512820512</v>
      </c>
      <c r="O124" s="19" t="s">
        <v>385</v>
      </c>
    </row>
    <row r="125" spans="1:15" x14ac:dyDescent="0.2">
      <c r="A125" s="13">
        <v>123</v>
      </c>
      <c r="B125" s="13" t="s">
        <v>510</v>
      </c>
      <c r="C125" s="14">
        <v>45288</v>
      </c>
      <c r="D125" s="15"/>
      <c r="E125" s="13" t="s">
        <v>387</v>
      </c>
      <c r="F125" s="13" t="s">
        <v>382</v>
      </c>
      <c r="G125" s="13" t="s">
        <v>222</v>
      </c>
      <c r="H125" s="13" t="s">
        <v>510</v>
      </c>
      <c r="I125" s="15"/>
      <c r="J125" s="44">
        <v>57484437</v>
      </c>
      <c r="K125" s="44">
        <f t="shared" si="2"/>
        <v>-57484437</v>
      </c>
      <c r="L125" s="44">
        <f>IF(I125=0,0,I125/LOOKUP(C125,Settings!$F$5:$F$20,Settings!$G$5:$G$20))</f>
        <v>0</v>
      </c>
      <c r="M125" s="44">
        <f>IF(J125=0,0,J125/LOOKUP(C125,Settings!$F$5:$F$20,Settings!$G$5:$G$20))</f>
        <v>4913.1997435897438</v>
      </c>
      <c r="N125" s="44">
        <f t="shared" si="3"/>
        <v>-4913.1997435897438</v>
      </c>
      <c r="O125" s="15"/>
    </row>
    <row r="126" spans="1:15" x14ac:dyDescent="0.2">
      <c r="A126" s="19">
        <v>124</v>
      </c>
      <c r="B126" s="19" t="s">
        <v>511</v>
      </c>
      <c r="C126" s="20">
        <v>45296</v>
      </c>
      <c r="D126" s="21"/>
      <c r="E126" s="19" t="s">
        <v>363</v>
      </c>
      <c r="F126" s="19" t="s">
        <v>364</v>
      </c>
      <c r="G126" s="19" t="s">
        <v>365</v>
      </c>
      <c r="H126" s="19" t="s">
        <v>511</v>
      </c>
      <c r="I126" s="21"/>
      <c r="J126" s="45">
        <v>32000000</v>
      </c>
      <c r="K126" s="45">
        <f t="shared" si="2"/>
        <v>-32000000</v>
      </c>
      <c r="L126" s="45">
        <f>IF(I126=0,0,I126/LOOKUP(C126,Settings!$F$5:$F$20,Settings!$G$5:$G$20))</f>
        <v>0</v>
      </c>
      <c r="M126" s="45">
        <f>IF(J126=0,0,J126/LOOKUP(C126,Settings!$F$5:$F$20,Settings!$G$5:$G$20))</f>
        <v>2689.0756302521008</v>
      </c>
      <c r="N126" s="45">
        <f t="shared" si="3"/>
        <v>-2689.0756302521008</v>
      </c>
      <c r="O126" s="19" t="s">
        <v>366</v>
      </c>
    </row>
    <row r="127" spans="1:15" x14ac:dyDescent="0.2">
      <c r="A127" s="13">
        <v>125</v>
      </c>
      <c r="B127" s="13" t="s">
        <v>512</v>
      </c>
      <c r="C127" s="14">
        <v>45301</v>
      </c>
      <c r="D127" s="15"/>
      <c r="E127" s="13" t="s">
        <v>372</v>
      </c>
      <c r="F127" s="13" t="s">
        <v>365</v>
      </c>
      <c r="G127" s="13" t="s">
        <v>365</v>
      </c>
      <c r="H127" s="13" t="s">
        <v>512</v>
      </c>
      <c r="I127" s="15"/>
      <c r="J127" s="44">
        <v>15000000</v>
      </c>
      <c r="K127" s="44">
        <f t="shared" si="2"/>
        <v>-15000000</v>
      </c>
      <c r="L127" s="44">
        <f>IF(I127=0,0,I127/LOOKUP(C127,Settings!$F$5:$F$20,Settings!$G$5:$G$20))</f>
        <v>0</v>
      </c>
      <c r="M127" s="44">
        <f>IF(J127=0,0,J127/LOOKUP(C127,Settings!$F$5:$F$20,Settings!$G$5:$G$20))</f>
        <v>1260.5042016806722</v>
      </c>
      <c r="N127" s="44">
        <f t="shared" si="3"/>
        <v>-1260.5042016806722</v>
      </c>
      <c r="O127" s="15"/>
    </row>
    <row r="128" spans="1:15" x14ac:dyDescent="0.2">
      <c r="A128" s="19">
        <v>126</v>
      </c>
      <c r="B128" s="19" t="s">
        <v>513</v>
      </c>
      <c r="C128" s="20">
        <v>45306</v>
      </c>
      <c r="D128" s="21"/>
      <c r="E128" s="19" t="s">
        <v>374</v>
      </c>
      <c r="F128" s="19" t="s">
        <v>365</v>
      </c>
      <c r="G128" s="19" t="s">
        <v>365</v>
      </c>
      <c r="H128" s="19" t="s">
        <v>513</v>
      </c>
      <c r="I128" s="21"/>
      <c r="J128" s="45">
        <v>6909305</v>
      </c>
      <c r="K128" s="45">
        <f t="shared" si="2"/>
        <v>-6909305</v>
      </c>
      <c r="L128" s="45">
        <f>IF(I128=0,0,I128/LOOKUP(C128,Settings!$F$5:$F$20,Settings!$G$5:$G$20))</f>
        <v>0</v>
      </c>
      <c r="M128" s="45">
        <f>IF(J128=0,0,J128/LOOKUP(C128,Settings!$F$5:$F$20,Settings!$G$5:$G$20))</f>
        <v>580.61386554621845</v>
      </c>
      <c r="N128" s="45">
        <f t="shared" si="3"/>
        <v>-580.61386554621845</v>
      </c>
      <c r="O128" s="21"/>
    </row>
    <row r="129" spans="1:15" x14ac:dyDescent="0.2">
      <c r="A129" s="13">
        <v>127</v>
      </c>
      <c r="B129" s="13" t="s">
        <v>514</v>
      </c>
      <c r="C129" s="14">
        <v>45306</v>
      </c>
      <c r="D129" s="15"/>
      <c r="E129" s="13" t="s">
        <v>376</v>
      </c>
      <c r="F129" s="13" t="s">
        <v>365</v>
      </c>
      <c r="G129" s="13" t="s">
        <v>365</v>
      </c>
      <c r="H129" s="13" t="s">
        <v>514</v>
      </c>
      <c r="I129" s="15"/>
      <c r="J129" s="44">
        <v>5637691</v>
      </c>
      <c r="K129" s="44">
        <f t="shared" si="2"/>
        <v>-5637691</v>
      </c>
      <c r="L129" s="44">
        <f>IF(I129=0,0,I129/LOOKUP(C129,Settings!$F$5:$F$20,Settings!$G$5:$G$20))</f>
        <v>0</v>
      </c>
      <c r="M129" s="44">
        <f>IF(J129=0,0,J129/LOOKUP(C129,Settings!$F$5:$F$20,Settings!$G$5:$G$20))</f>
        <v>473.75554621848738</v>
      </c>
      <c r="N129" s="44">
        <f t="shared" si="3"/>
        <v>-473.75554621848738</v>
      </c>
      <c r="O129" s="15"/>
    </row>
    <row r="130" spans="1:15" x14ac:dyDescent="0.2">
      <c r="A130" s="19">
        <v>128</v>
      </c>
      <c r="B130" s="19" t="s">
        <v>515</v>
      </c>
      <c r="C130" s="20">
        <v>45311</v>
      </c>
      <c r="D130" s="21"/>
      <c r="E130" s="19" t="s">
        <v>381</v>
      </c>
      <c r="F130" s="19" t="s">
        <v>382</v>
      </c>
      <c r="G130" s="19" t="s">
        <v>382</v>
      </c>
      <c r="H130" s="19" t="s">
        <v>515</v>
      </c>
      <c r="I130" s="21"/>
      <c r="J130" s="45">
        <v>91874576</v>
      </c>
      <c r="K130" s="45">
        <f t="shared" si="2"/>
        <v>-91874576</v>
      </c>
      <c r="L130" s="45">
        <f>IF(I130=0,0,I130/LOOKUP(C130,Settings!$F$5:$F$20,Settings!$G$5:$G$20))</f>
        <v>0</v>
      </c>
      <c r="M130" s="45">
        <f>IF(J130=0,0,J130/LOOKUP(C130,Settings!$F$5:$F$20,Settings!$G$5:$G$20))</f>
        <v>7720.5526050420167</v>
      </c>
      <c r="N130" s="45">
        <f t="shared" si="3"/>
        <v>-7720.5526050420167</v>
      </c>
      <c r="O130" s="21"/>
    </row>
    <row r="131" spans="1:15" x14ac:dyDescent="0.2">
      <c r="A131" s="13">
        <v>129</v>
      </c>
      <c r="B131" s="13" t="s">
        <v>516</v>
      </c>
      <c r="C131" s="14">
        <v>45312</v>
      </c>
      <c r="D131" s="15"/>
      <c r="E131" s="13" t="s">
        <v>368</v>
      </c>
      <c r="F131" s="13" t="s">
        <v>369</v>
      </c>
      <c r="G131" s="13" t="s">
        <v>370</v>
      </c>
      <c r="H131" s="13" t="s">
        <v>516</v>
      </c>
      <c r="I131" s="15"/>
      <c r="J131" s="44">
        <v>5495802</v>
      </c>
      <c r="K131" s="44">
        <f t="shared" ref="K131:K194" si="4">I131-J131</f>
        <v>-5495802</v>
      </c>
      <c r="L131" s="44">
        <f>IF(I131=0,0,I131/LOOKUP(C131,Settings!$F$5:$F$20,Settings!$G$5:$G$20))</f>
        <v>0</v>
      </c>
      <c r="M131" s="44">
        <f>IF(J131=0,0,J131/LOOKUP(C131,Settings!$F$5:$F$20,Settings!$G$5:$G$20))</f>
        <v>461.83210084033612</v>
      </c>
      <c r="N131" s="44">
        <f t="shared" ref="N131:N194" si="5">L131-M131</f>
        <v>-461.83210084033612</v>
      </c>
      <c r="O131" s="15"/>
    </row>
    <row r="132" spans="1:15" x14ac:dyDescent="0.2">
      <c r="A132" s="19">
        <v>130</v>
      </c>
      <c r="B132" s="19" t="s">
        <v>517</v>
      </c>
      <c r="C132" s="20">
        <v>45319</v>
      </c>
      <c r="D132" s="21"/>
      <c r="E132" s="19" t="s">
        <v>384</v>
      </c>
      <c r="F132" s="19" t="s">
        <v>382</v>
      </c>
      <c r="G132" s="19" t="s">
        <v>382</v>
      </c>
      <c r="H132" s="19" t="s">
        <v>517</v>
      </c>
      <c r="I132" s="21"/>
      <c r="J132" s="45">
        <v>357000000</v>
      </c>
      <c r="K132" s="45">
        <f t="shared" si="4"/>
        <v>-357000000</v>
      </c>
      <c r="L132" s="45">
        <f>IF(I132=0,0,I132/LOOKUP(C132,Settings!$F$5:$F$20,Settings!$G$5:$G$20))</f>
        <v>0</v>
      </c>
      <c r="M132" s="45">
        <f>IF(J132=0,0,J132/LOOKUP(C132,Settings!$F$5:$F$20,Settings!$G$5:$G$20))</f>
        <v>30000</v>
      </c>
      <c r="N132" s="45">
        <f t="shared" si="5"/>
        <v>-30000</v>
      </c>
      <c r="O132" s="19" t="s">
        <v>385</v>
      </c>
    </row>
    <row r="133" spans="1:15" x14ac:dyDescent="0.2">
      <c r="A133" s="13">
        <v>131</v>
      </c>
      <c r="B133" s="13" t="s">
        <v>518</v>
      </c>
      <c r="C133" s="14">
        <v>45319</v>
      </c>
      <c r="D133" s="15"/>
      <c r="E133" s="13" t="s">
        <v>387</v>
      </c>
      <c r="F133" s="13" t="s">
        <v>382</v>
      </c>
      <c r="G133" s="13" t="s">
        <v>222</v>
      </c>
      <c r="H133" s="13" t="s">
        <v>518</v>
      </c>
      <c r="I133" s="15"/>
      <c r="J133" s="44">
        <v>47353670</v>
      </c>
      <c r="K133" s="44">
        <f t="shared" si="4"/>
        <v>-47353670</v>
      </c>
      <c r="L133" s="44">
        <f>IF(I133=0,0,I133/LOOKUP(C133,Settings!$F$5:$F$20,Settings!$G$5:$G$20))</f>
        <v>0</v>
      </c>
      <c r="M133" s="44">
        <f>IF(J133=0,0,J133/LOOKUP(C133,Settings!$F$5:$F$20,Settings!$G$5:$G$20))</f>
        <v>3979.3</v>
      </c>
      <c r="N133" s="44">
        <f t="shared" si="5"/>
        <v>-3979.3</v>
      </c>
      <c r="O133" s="15"/>
    </row>
    <row r="134" spans="1:15" x14ac:dyDescent="0.2">
      <c r="A134" s="19">
        <v>132</v>
      </c>
      <c r="B134" s="19" t="s">
        <v>519</v>
      </c>
      <c r="C134" s="20">
        <v>45332</v>
      </c>
      <c r="D134" s="21"/>
      <c r="E134" s="19" t="s">
        <v>372</v>
      </c>
      <c r="F134" s="19" t="s">
        <v>365</v>
      </c>
      <c r="G134" s="19" t="s">
        <v>365</v>
      </c>
      <c r="H134" s="19" t="s">
        <v>519</v>
      </c>
      <c r="I134" s="21"/>
      <c r="J134" s="45">
        <v>15000000</v>
      </c>
      <c r="K134" s="45">
        <f t="shared" si="4"/>
        <v>-15000000</v>
      </c>
      <c r="L134" s="45">
        <f>IF(I134=0,0,I134/LOOKUP(C134,Settings!$F$5:$F$20,Settings!$G$5:$G$20))</f>
        <v>0</v>
      </c>
      <c r="M134" s="45">
        <f>IF(J134=0,0,J134/LOOKUP(C134,Settings!$F$5:$F$20,Settings!$G$5:$G$20))</f>
        <v>1260.5042016806722</v>
      </c>
      <c r="N134" s="45">
        <f t="shared" si="5"/>
        <v>-1260.5042016806722</v>
      </c>
      <c r="O134" s="21"/>
    </row>
    <row r="135" spans="1:15" x14ac:dyDescent="0.2">
      <c r="A135" s="13">
        <v>133</v>
      </c>
      <c r="B135" s="13" t="s">
        <v>520</v>
      </c>
      <c r="C135" s="14">
        <v>45337</v>
      </c>
      <c r="D135" s="15"/>
      <c r="E135" s="13" t="s">
        <v>374</v>
      </c>
      <c r="F135" s="13" t="s">
        <v>365</v>
      </c>
      <c r="G135" s="13" t="s">
        <v>365</v>
      </c>
      <c r="H135" s="13" t="s">
        <v>520</v>
      </c>
      <c r="I135" s="15"/>
      <c r="J135" s="44">
        <v>7807592</v>
      </c>
      <c r="K135" s="44">
        <f t="shared" si="4"/>
        <v>-7807592</v>
      </c>
      <c r="L135" s="44">
        <f>IF(I135=0,0,I135/LOOKUP(C135,Settings!$F$5:$F$20,Settings!$G$5:$G$20))</f>
        <v>0</v>
      </c>
      <c r="M135" s="44">
        <f>IF(J135=0,0,J135/LOOKUP(C135,Settings!$F$5:$F$20,Settings!$G$5:$G$20))</f>
        <v>656.10016806722695</v>
      </c>
      <c r="N135" s="44">
        <f t="shared" si="5"/>
        <v>-656.10016806722695</v>
      </c>
      <c r="O135" s="15"/>
    </row>
    <row r="136" spans="1:15" x14ac:dyDescent="0.2">
      <c r="A136" s="19">
        <v>134</v>
      </c>
      <c r="B136" s="19" t="s">
        <v>521</v>
      </c>
      <c r="C136" s="20">
        <v>45337</v>
      </c>
      <c r="D136" s="21"/>
      <c r="E136" s="19" t="s">
        <v>376</v>
      </c>
      <c r="F136" s="19" t="s">
        <v>365</v>
      </c>
      <c r="G136" s="19" t="s">
        <v>365</v>
      </c>
      <c r="H136" s="19" t="s">
        <v>521</v>
      </c>
      <c r="I136" s="21"/>
      <c r="J136" s="45">
        <v>5044857</v>
      </c>
      <c r="K136" s="45">
        <f t="shared" si="4"/>
        <v>-5044857</v>
      </c>
      <c r="L136" s="45">
        <f>IF(I136=0,0,I136/LOOKUP(C136,Settings!$F$5:$F$20,Settings!$G$5:$G$20))</f>
        <v>0</v>
      </c>
      <c r="M136" s="45">
        <f>IF(J136=0,0,J136/LOOKUP(C136,Settings!$F$5:$F$20,Settings!$G$5:$G$20))</f>
        <v>423.93756302521007</v>
      </c>
      <c r="N136" s="45">
        <f t="shared" si="5"/>
        <v>-423.93756302521007</v>
      </c>
      <c r="O136" s="21"/>
    </row>
    <row r="137" spans="1:15" x14ac:dyDescent="0.2">
      <c r="A137" s="13">
        <v>135</v>
      </c>
      <c r="B137" s="13" t="s">
        <v>522</v>
      </c>
      <c r="C137" s="14">
        <v>45342</v>
      </c>
      <c r="D137" s="13" t="s">
        <v>523</v>
      </c>
      <c r="E137" s="15"/>
      <c r="F137" s="13" t="s">
        <v>224</v>
      </c>
      <c r="G137" s="13" t="s">
        <v>222</v>
      </c>
      <c r="H137" s="13" t="s">
        <v>113</v>
      </c>
      <c r="I137" s="15"/>
      <c r="J137" s="44">
        <v>63774895</v>
      </c>
      <c r="K137" s="44">
        <f t="shared" si="4"/>
        <v>-63774895</v>
      </c>
      <c r="L137" s="44">
        <f>IF(I137=0,0,I137/LOOKUP(C137,Settings!$F$5:$F$20,Settings!$G$5:$G$20))</f>
        <v>0</v>
      </c>
      <c r="M137" s="44">
        <f>IF(J137=0,0,J137/LOOKUP(C137,Settings!$F$5:$F$20,Settings!$G$5:$G$20))</f>
        <v>5359.2348739495801</v>
      </c>
      <c r="N137" s="44">
        <f t="shared" si="5"/>
        <v>-5359.2348739495801</v>
      </c>
      <c r="O137" s="13" t="s">
        <v>379</v>
      </c>
    </row>
    <row r="138" spans="1:15" x14ac:dyDescent="0.2">
      <c r="A138" s="19">
        <v>136</v>
      </c>
      <c r="B138" s="19" t="s">
        <v>524</v>
      </c>
      <c r="C138" s="20">
        <v>45342</v>
      </c>
      <c r="D138" s="21"/>
      <c r="E138" s="19" t="s">
        <v>381</v>
      </c>
      <c r="F138" s="19" t="s">
        <v>382</v>
      </c>
      <c r="G138" s="19" t="s">
        <v>382</v>
      </c>
      <c r="H138" s="19" t="s">
        <v>524</v>
      </c>
      <c r="I138" s="21"/>
      <c r="J138" s="45">
        <v>89339304</v>
      </c>
      <c r="K138" s="45">
        <f t="shared" si="4"/>
        <v>-89339304</v>
      </c>
      <c r="L138" s="45">
        <f>IF(I138=0,0,I138/LOOKUP(C138,Settings!$F$5:$F$20,Settings!$G$5:$G$20))</f>
        <v>0</v>
      </c>
      <c r="M138" s="45">
        <f>IF(J138=0,0,J138/LOOKUP(C138,Settings!$F$5:$F$20,Settings!$G$5:$G$20))</f>
        <v>7507.5045378151262</v>
      </c>
      <c r="N138" s="45">
        <f t="shared" si="5"/>
        <v>-7507.5045378151262</v>
      </c>
      <c r="O138" s="21"/>
    </row>
    <row r="139" spans="1:15" x14ac:dyDescent="0.2">
      <c r="A139" s="13">
        <v>137</v>
      </c>
      <c r="B139" s="13" t="s">
        <v>525</v>
      </c>
      <c r="C139" s="14">
        <v>45348</v>
      </c>
      <c r="D139" s="15"/>
      <c r="E139" s="13" t="s">
        <v>384</v>
      </c>
      <c r="F139" s="13" t="s">
        <v>382</v>
      </c>
      <c r="G139" s="13" t="s">
        <v>382</v>
      </c>
      <c r="H139" s="13" t="s">
        <v>525</v>
      </c>
      <c r="I139" s="15"/>
      <c r="J139" s="44">
        <v>357000000</v>
      </c>
      <c r="K139" s="44">
        <f t="shared" si="4"/>
        <v>-357000000</v>
      </c>
      <c r="L139" s="44">
        <f>IF(I139=0,0,I139/LOOKUP(C139,Settings!$F$5:$F$20,Settings!$G$5:$G$20))</f>
        <v>0</v>
      </c>
      <c r="M139" s="44">
        <f>IF(J139=0,0,J139/LOOKUP(C139,Settings!$F$5:$F$20,Settings!$G$5:$G$20))</f>
        <v>30000</v>
      </c>
      <c r="N139" s="44">
        <f t="shared" si="5"/>
        <v>-30000</v>
      </c>
      <c r="O139" s="13" t="s">
        <v>385</v>
      </c>
    </row>
    <row r="140" spans="1:15" x14ac:dyDescent="0.2">
      <c r="A140" s="19">
        <v>138</v>
      </c>
      <c r="B140" s="19" t="s">
        <v>526</v>
      </c>
      <c r="C140" s="20">
        <v>45348</v>
      </c>
      <c r="D140" s="21"/>
      <c r="E140" s="19" t="s">
        <v>387</v>
      </c>
      <c r="F140" s="19" t="s">
        <v>382</v>
      </c>
      <c r="G140" s="19" t="s">
        <v>222</v>
      </c>
      <c r="H140" s="19" t="s">
        <v>526</v>
      </c>
      <c r="I140" s="21"/>
      <c r="J140" s="45">
        <v>40585302</v>
      </c>
      <c r="K140" s="45">
        <f t="shared" si="4"/>
        <v>-40585302</v>
      </c>
      <c r="L140" s="45">
        <f>IF(I140=0,0,I140/LOOKUP(C140,Settings!$F$5:$F$20,Settings!$G$5:$G$20))</f>
        <v>0</v>
      </c>
      <c r="M140" s="45">
        <f>IF(J140=0,0,J140/LOOKUP(C140,Settings!$F$5:$F$20,Settings!$G$5:$G$20))</f>
        <v>3410.5295798319326</v>
      </c>
      <c r="N140" s="45">
        <f t="shared" si="5"/>
        <v>-3410.5295798319326</v>
      </c>
      <c r="O140" s="21"/>
    </row>
    <row r="141" spans="1:15" x14ac:dyDescent="0.2">
      <c r="A141" s="13">
        <v>139</v>
      </c>
      <c r="B141" s="13" t="s">
        <v>527</v>
      </c>
      <c r="C141" s="14">
        <v>45361</v>
      </c>
      <c r="D141" s="15"/>
      <c r="E141" s="13" t="s">
        <v>372</v>
      </c>
      <c r="F141" s="13" t="s">
        <v>365</v>
      </c>
      <c r="G141" s="13" t="s">
        <v>365</v>
      </c>
      <c r="H141" s="13" t="s">
        <v>527</v>
      </c>
      <c r="I141" s="15"/>
      <c r="J141" s="44">
        <v>15000000</v>
      </c>
      <c r="K141" s="44">
        <f t="shared" si="4"/>
        <v>-15000000</v>
      </c>
      <c r="L141" s="44">
        <f>IF(I141=0,0,I141/LOOKUP(C141,Settings!$F$5:$F$20,Settings!$G$5:$G$20))</f>
        <v>0</v>
      </c>
      <c r="M141" s="44">
        <f>IF(J141=0,0,J141/LOOKUP(C141,Settings!$F$5:$F$20,Settings!$G$5:$G$20))</f>
        <v>1260.5042016806722</v>
      </c>
      <c r="N141" s="44">
        <f t="shared" si="5"/>
        <v>-1260.5042016806722</v>
      </c>
      <c r="O141" s="15"/>
    </row>
    <row r="142" spans="1:15" x14ac:dyDescent="0.2">
      <c r="A142" s="19">
        <v>140</v>
      </c>
      <c r="B142" s="19" t="s">
        <v>528</v>
      </c>
      <c r="C142" s="20">
        <v>45366</v>
      </c>
      <c r="D142" s="21"/>
      <c r="E142" s="19" t="s">
        <v>374</v>
      </c>
      <c r="F142" s="19" t="s">
        <v>365</v>
      </c>
      <c r="G142" s="19" t="s">
        <v>365</v>
      </c>
      <c r="H142" s="19" t="s">
        <v>528</v>
      </c>
      <c r="I142" s="21"/>
      <c r="J142" s="45">
        <v>6882658</v>
      </c>
      <c r="K142" s="45">
        <f t="shared" si="4"/>
        <v>-6882658</v>
      </c>
      <c r="L142" s="45">
        <f>IF(I142=0,0,I142/LOOKUP(C142,Settings!$F$5:$F$20,Settings!$G$5:$G$20))</f>
        <v>0</v>
      </c>
      <c r="M142" s="45">
        <f>IF(J142=0,0,J142/LOOKUP(C142,Settings!$F$5:$F$20,Settings!$G$5:$G$20))</f>
        <v>578.37462184873948</v>
      </c>
      <c r="N142" s="45">
        <f t="shared" si="5"/>
        <v>-578.37462184873948</v>
      </c>
      <c r="O142" s="21"/>
    </row>
    <row r="143" spans="1:15" x14ac:dyDescent="0.2">
      <c r="A143" s="13">
        <v>141</v>
      </c>
      <c r="B143" s="13" t="s">
        <v>529</v>
      </c>
      <c r="C143" s="14">
        <v>45366</v>
      </c>
      <c r="D143" s="15"/>
      <c r="E143" s="13" t="s">
        <v>376</v>
      </c>
      <c r="F143" s="13" t="s">
        <v>365</v>
      </c>
      <c r="G143" s="13" t="s">
        <v>365</v>
      </c>
      <c r="H143" s="13" t="s">
        <v>529</v>
      </c>
      <c r="I143" s="15"/>
      <c r="J143" s="44">
        <v>4820214</v>
      </c>
      <c r="K143" s="44">
        <f t="shared" si="4"/>
        <v>-4820214</v>
      </c>
      <c r="L143" s="44">
        <f>IF(I143=0,0,I143/LOOKUP(C143,Settings!$F$5:$F$20,Settings!$G$5:$G$20))</f>
        <v>0</v>
      </c>
      <c r="M143" s="44">
        <f>IF(J143=0,0,J143/LOOKUP(C143,Settings!$F$5:$F$20,Settings!$G$5:$G$20))</f>
        <v>405.06</v>
      </c>
      <c r="N143" s="44">
        <f t="shared" si="5"/>
        <v>-405.06</v>
      </c>
      <c r="O143" s="15"/>
    </row>
    <row r="144" spans="1:15" x14ac:dyDescent="0.2">
      <c r="A144" s="19">
        <v>142</v>
      </c>
      <c r="B144" s="19" t="s">
        <v>530</v>
      </c>
      <c r="C144" s="20">
        <v>45371</v>
      </c>
      <c r="D144" s="21"/>
      <c r="E144" s="19" t="s">
        <v>381</v>
      </c>
      <c r="F144" s="19" t="s">
        <v>382</v>
      </c>
      <c r="G144" s="19" t="s">
        <v>382</v>
      </c>
      <c r="H144" s="19" t="s">
        <v>530</v>
      </c>
      <c r="I144" s="21"/>
      <c r="J144" s="45">
        <v>83675692</v>
      </c>
      <c r="K144" s="45">
        <f t="shared" si="4"/>
        <v>-83675692</v>
      </c>
      <c r="L144" s="45">
        <f>IF(I144=0,0,I144/LOOKUP(C144,Settings!$F$5:$F$20,Settings!$G$5:$G$20))</f>
        <v>0</v>
      </c>
      <c r="M144" s="45">
        <f>IF(J144=0,0,J144/LOOKUP(C144,Settings!$F$5:$F$20,Settings!$G$5:$G$20))</f>
        <v>7031.5707563025207</v>
      </c>
      <c r="N144" s="45">
        <f t="shared" si="5"/>
        <v>-7031.5707563025207</v>
      </c>
      <c r="O144" s="21"/>
    </row>
    <row r="145" spans="1:15" x14ac:dyDescent="0.2">
      <c r="A145" s="13">
        <v>143</v>
      </c>
      <c r="B145" s="13" t="s">
        <v>531</v>
      </c>
      <c r="C145" s="14">
        <v>45379</v>
      </c>
      <c r="D145" s="15"/>
      <c r="E145" s="13" t="s">
        <v>384</v>
      </c>
      <c r="F145" s="13" t="s">
        <v>382</v>
      </c>
      <c r="G145" s="13" t="s">
        <v>382</v>
      </c>
      <c r="H145" s="13" t="s">
        <v>531</v>
      </c>
      <c r="I145" s="15"/>
      <c r="J145" s="44">
        <v>357000000</v>
      </c>
      <c r="K145" s="44">
        <f t="shared" si="4"/>
        <v>-357000000</v>
      </c>
      <c r="L145" s="44">
        <f>IF(I145=0,0,I145/LOOKUP(C145,Settings!$F$5:$F$20,Settings!$G$5:$G$20))</f>
        <v>0</v>
      </c>
      <c r="M145" s="44">
        <f>IF(J145=0,0,J145/LOOKUP(C145,Settings!$F$5:$F$20,Settings!$G$5:$G$20))</f>
        <v>30000</v>
      </c>
      <c r="N145" s="44">
        <f t="shared" si="5"/>
        <v>-30000</v>
      </c>
      <c r="O145" s="13" t="s">
        <v>385</v>
      </c>
    </row>
    <row r="146" spans="1:15" x14ac:dyDescent="0.2">
      <c r="A146" s="19">
        <v>144</v>
      </c>
      <c r="B146" s="19" t="s">
        <v>532</v>
      </c>
      <c r="C146" s="20">
        <v>45379</v>
      </c>
      <c r="D146" s="21"/>
      <c r="E146" s="19" t="s">
        <v>387</v>
      </c>
      <c r="F146" s="19" t="s">
        <v>382</v>
      </c>
      <c r="G146" s="19" t="s">
        <v>222</v>
      </c>
      <c r="H146" s="19" t="s">
        <v>532</v>
      </c>
      <c r="I146" s="21"/>
      <c r="J146" s="45">
        <v>35388918</v>
      </c>
      <c r="K146" s="45">
        <f t="shared" si="4"/>
        <v>-35388918</v>
      </c>
      <c r="L146" s="45">
        <f>IF(I146=0,0,I146/LOOKUP(C146,Settings!$F$5:$F$20,Settings!$G$5:$G$20))</f>
        <v>0</v>
      </c>
      <c r="M146" s="45">
        <f>IF(J146=0,0,J146/LOOKUP(C146,Settings!$F$5:$F$20,Settings!$G$5:$G$20))</f>
        <v>2973.8586554621847</v>
      </c>
      <c r="N146" s="45">
        <f t="shared" si="5"/>
        <v>-2973.8586554621847</v>
      </c>
      <c r="O146" s="21"/>
    </row>
    <row r="147" spans="1:15" x14ac:dyDescent="0.2">
      <c r="A147" s="13">
        <v>145</v>
      </c>
      <c r="B147" s="13" t="s">
        <v>533</v>
      </c>
      <c r="C147" s="14">
        <v>45392</v>
      </c>
      <c r="D147" s="15"/>
      <c r="E147" s="13" t="s">
        <v>372</v>
      </c>
      <c r="F147" s="13" t="s">
        <v>365</v>
      </c>
      <c r="G147" s="13" t="s">
        <v>365</v>
      </c>
      <c r="H147" s="13" t="s">
        <v>533</v>
      </c>
      <c r="I147" s="15"/>
      <c r="J147" s="44">
        <v>15000000</v>
      </c>
      <c r="K147" s="44">
        <f t="shared" si="4"/>
        <v>-15000000</v>
      </c>
      <c r="L147" s="44">
        <f>IF(I147=0,0,I147/LOOKUP(C147,Settings!$F$5:$F$20,Settings!$G$5:$G$20))</f>
        <v>0</v>
      </c>
      <c r="M147" s="44">
        <f>IF(J147=0,0,J147/LOOKUP(C147,Settings!$F$5:$F$20,Settings!$G$5:$G$20))</f>
        <v>1244.8132780082988</v>
      </c>
      <c r="N147" s="44">
        <f t="shared" si="5"/>
        <v>-1244.8132780082988</v>
      </c>
      <c r="O147" s="15"/>
    </row>
    <row r="148" spans="1:15" x14ac:dyDescent="0.2">
      <c r="A148" s="19">
        <v>146</v>
      </c>
      <c r="B148" s="19" t="s">
        <v>534</v>
      </c>
      <c r="C148" s="20">
        <v>45397</v>
      </c>
      <c r="D148" s="21"/>
      <c r="E148" s="19" t="s">
        <v>374</v>
      </c>
      <c r="F148" s="19" t="s">
        <v>365</v>
      </c>
      <c r="G148" s="19" t="s">
        <v>365</v>
      </c>
      <c r="H148" s="19" t="s">
        <v>534</v>
      </c>
      <c r="I148" s="21"/>
      <c r="J148" s="45">
        <v>6599250</v>
      </c>
      <c r="K148" s="45">
        <f t="shared" si="4"/>
        <v>-6599250</v>
      </c>
      <c r="L148" s="45">
        <f>IF(I148=0,0,I148/LOOKUP(C148,Settings!$F$5:$F$20,Settings!$G$5:$G$20))</f>
        <v>0</v>
      </c>
      <c r="M148" s="45">
        <f>IF(J148=0,0,J148/LOOKUP(C148,Settings!$F$5:$F$20,Settings!$G$5:$G$20))</f>
        <v>547.65560165975103</v>
      </c>
      <c r="N148" s="45">
        <f t="shared" si="5"/>
        <v>-547.65560165975103</v>
      </c>
      <c r="O148" s="21"/>
    </row>
    <row r="149" spans="1:15" x14ac:dyDescent="0.2">
      <c r="A149" s="13">
        <v>147</v>
      </c>
      <c r="B149" s="13" t="s">
        <v>535</v>
      </c>
      <c r="C149" s="14">
        <v>45397</v>
      </c>
      <c r="D149" s="15"/>
      <c r="E149" s="13" t="s">
        <v>376</v>
      </c>
      <c r="F149" s="13" t="s">
        <v>365</v>
      </c>
      <c r="G149" s="13" t="s">
        <v>365</v>
      </c>
      <c r="H149" s="13" t="s">
        <v>535</v>
      </c>
      <c r="I149" s="15"/>
      <c r="J149" s="44">
        <v>5471061</v>
      </c>
      <c r="K149" s="44">
        <f t="shared" si="4"/>
        <v>-5471061</v>
      </c>
      <c r="L149" s="44">
        <f>IF(I149=0,0,I149/LOOKUP(C149,Settings!$F$5:$F$20,Settings!$G$5:$G$20))</f>
        <v>0</v>
      </c>
      <c r="M149" s="44">
        <f>IF(J149=0,0,J149/LOOKUP(C149,Settings!$F$5:$F$20,Settings!$G$5:$G$20))</f>
        <v>454.02995850622409</v>
      </c>
      <c r="N149" s="44">
        <f t="shared" si="5"/>
        <v>-454.02995850622409</v>
      </c>
      <c r="O149" s="15"/>
    </row>
    <row r="150" spans="1:15" x14ac:dyDescent="0.2">
      <c r="A150" s="19">
        <v>148</v>
      </c>
      <c r="B150" s="19" t="s">
        <v>536</v>
      </c>
      <c r="C150" s="20">
        <v>45402</v>
      </c>
      <c r="D150" s="19" t="s">
        <v>537</v>
      </c>
      <c r="E150" s="21"/>
      <c r="F150" s="19" t="s">
        <v>224</v>
      </c>
      <c r="G150" s="19" t="s">
        <v>222</v>
      </c>
      <c r="H150" s="19" t="s">
        <v>121</v>
      </c>
      <c r="I150" s="21"/>
      <c r="J150" s="45">
        <v>67020376</v>
      </c>
      <c r="K150" s="45">
        <f t="shared" si="4"/>
        <v>-67020376</v>
      </c>
      <c r="L150" s="45">
        <f>IF(I150=0,0,I150/LOOKUP(C150,Settings!$F$5:$F$20,Settings!$G$5:$G$20))</f>
        <v>0</v>
      </c>
      <c r="M150" s="45">
        <f>IF(J150=0,0,J150/LOOKUP(C150,Settings!$F$5:$F$20,Settings!$G$5:$G$20))</f>
        <v>5561.8569294605813</v>
      </c>
      <c r="N150" s="45">
        <f t="shared" si="5"/>
        <v>-5561.8569294605813</v>
      </c>
      <c r="O150" s="19" t="s">
        <v>379</v>
      </c>
    </row>
    <row r="151" spans="1:15" x14ac:dyDescent="0.2">
      <c r="A151" s="13">
        <v>149</v>
      </c>
      <c r="B151" s="13" t="s">
        <v>538</v>
      </c>
      <c r="C151" s="14">
        <v>45402</v>
      </c>
      <c r="D151" s="15"/>
      <c r="E151" s="13" t="s">
        <v>381</v>
      </c>
      <c r="F151" s="13" t="s">
        <v>382</v>
      </c>
      <c r="G151" s="13" t="s">
        <v>382</v>
      </c>
      <c r="H151" s="13" t="s">
        <v>538</v>
      </c>
      <c r="I151" s="15"/>
      <c r="J151" s="44">
        <v>91384423</v>
      </c>
      <c r="K151" s="44">
        <f t="shared" si="4"/>
        <v>-91384423</v>
      </c>
      <c r="L151" s="44">
        <f>IF(I151=0,0,I151/LOOKUP(C151,Settings!$F$5:$F$20,Settings!$G$5:$G$20))</f>
        <v>0</v>
      </c>
      <c r="M151" s="44">
        <f>IF(J151=0,0,J151/LOOKUP(C151,Settings!$F$5:$F$20,Settings!$G$5:$G$20))</f>
        <v>7583.7695435684645</v>
      </c>
      <c r="N151" s="44">
        <f t="shared" si="5"/>
        <v>-7583.7695435684645</v>
      </c>
      <c r="O151" s="15"/>
    </row>
    <row r="152" spans="1:15" x14ac:dyDescent="0.2">
      <c r="A152" s="19">
        <v>150</v>
      </c>
      <c r="B152" s="19" t="s">
        <v>539</v>
      </c>
      <c r="C152" s="20">
        <v>45405</v>
      </c>
      <c r="D152" s="21"/>
      <c r="E152" s="19" t="s">
        <v>368</v>
      </c>
      <c r="F152" s="19" t="s">
        <v>369</v>
      </c>
      <c r="G152" s="19" t="s">
        <v>370</v>
      </c>
      <c r="H152" s="19" t="s">
        <v>539</v>
      </c>
      <c r="I152" s="21"/>
      <c r="J152" s="45">
        <v>3175787</v>
      </c>
      <c r="K152" s="45">
        <f t="shared" si="4"/>
        <v>-3175787</v>
      </c>
      <c r="L152" s="45">
        <f>IF(I152=0,0,I152/LOOKUP(C152,Settings!$F$5:$F$20,Settings!$G$5:$G$20))</f>
        <v>0</v>
      </c>
      <c r="M152" s="45">
        <f>IF(J152=0,0,J152/LOOKUP(C152,Settings!$F$5:$F$20,Settings!$G$5:$G$20))</f>
        <v>263.55078838174273</v>
      </c>
      <c r="N152" s="45">
        <f t="shared" si="5"/>
        <v>-263.55078838174273</v>
      </c>
      <c r="O152" s="21"/>
    </row>
    <row r="153" spans="1:15" x14ac:dyDescent="0.2">
      <c r="A153" s="13">
        <v>151</v>
      </c>
      <c r="B153" s="13" t="s">
        <v>540</v>
      </c>
      <c r="C153" s="14">
        <v>45410</v>
      </c>
      <c r="D153" s="15"/>
      <c r="E153" s="13" t="s">
        <v>384</v>
      </c>
      <c r="F153" s="13" t="s">
        <v>382</v>
      </c>
      <c r="G153" s="13" t="s">
        <v>382</v>
      </c>
      <c r="H153" s="13" t="s">
        <v>540</v>
      </c>
      <c r="I153" s="15"/>
      <c r="J153" s="44">
        <v>357000000</v>
      </c>
      <c r="K153" s="44">
        <f t="shared" si="4"/>
        <v>-357000000</v>
      </c>
      <c r="L153" s="44">
        <f>IF(I153=0,0,I153/LOOKUP(C153,Settings!$F$5:$F$20,Settings!$G$5:$G$20))</f>
        <v>0</v>
      </c>
      <c r="M153" s="44">
        <f>IF(J153=0,0,J153/LOOKUP(C153,Settings!$F$5:$F$20,Settings!$G$5:$G$20))</f>
        <v>29626.556016597511</v>
      </c>
      <c r="N153" s="44">
        <f t="shared" si="5"/>
        <v>-29626.556016597511</v>
      </c>
      <c r="O153" s="13" t="s">
        <v>385</v>
      </c>
    </row>
    <row r="154" spans="1:15" x14ac:dyDescent="0.2">
      <c r="A154" s="19">
        <v>152</v>
      </c>
      <c r="B154" s="19" t="s">
        <v>541</v>
      </c>
      <c r="C154" s="20">
        <v>45410</v>
      </c>
      <c r="D154" s="21"/>
      <c r="E154" s="19" t="s">
        <v>387</v>
      </c>
      <c r="F154" s="19" t="s">
        <v>382</v>
      </c>
      <c r="G154" s="19" t="s">
        <v>222</v>
      </c>
      <c r="H154" s="19" t="s">
        <v>541</v>
      </c>
      <c r="I154" s="21"/>
      <c r="J154" s="45">
        <v>48009020</v>
      </c>
      <c r="K154" s="45">
        <f t="shared" si="4"/>
        <v>-48009020</v>
      </c>
      <c r="L154" s="45">
        <f>IF(I154=0,0,I154/LOOKUP(C154,Settings!$F$5:$F$20,Settings!$G$5:$G$20))</f>
        <v>0</v>
      </c>
      <c r="M154" s="45">
        <f>IF(J154=0,0,J154/LOOKUP(C154,Settings!$F$5:$F$20,Settings!$G$5:$G$20))</f>
        <v>3984.1510373443984</v>
      </c>
      <c r="N154" s="45">
        <f t="shared" si="5"/>
        <v>-3984.1510373443984</v>
      </c>
      <c r="O154" s="21"/>
    </row>
    <row r="155" spans="1:15" x14ac:dyDescent="0.2">
      <c r="A155" s="13">
        <v>153</v>
      </c>
      <c r="B155" s="13" t="s">
        <v>542</v>
      </c>
      <c r="C155" s="14">
        <v>45422</v>
      </c>
      <c r="D155" s="15"/>
      <c r="E155" s="13" t="s">
        <v>372</v>
      </c>
      <c r="F155" s="13" t="s">
        <v>365</v>
      </c>
      <c r="G155" s="13" t="s">
        <v>365</v>
      </c>
      <c r="H155" s="13" t="s">
        <v>542</v>
      </c>
      <c r="I155" s="15"/>
      <c r="J155" s="44">
        <v>15000000</v>
      </c>
      <c r="K155" s="44">
        <f t="shared" si="4"/>
        <v>-15000000</v>
      </c>
      <c r="L155" s="44">
        <f>IF(I155=0,0,I155/LOOKUP(C155,Settings!$F$5:$F$20,Settings!$G$5:$G$20))</f>
        <v>0</v>
      </c>
      <c r="M155" s="44">
        <f>IF(J155=0,0,J155/LOOKUP(C155,Settings!$F$5:$F$20,Settings!$G$5:$G$20))</f>
        <v>1244.8132780082988</v>
      </c>
      <c r="N155" s="44">
        <f t="shared" si="5"/>
        <v>-1244.8132780082988</v>
      </c>
      <c r="O155" s="15"/>
    </row>
    <row r="156" spans="1:15" x14ac:dyDescent="0.2">
      <c r="A156" s="19">
        <v>154</v>
      </c>
      <c r="B156" s="19" t="s">
        <v>543</v>
      </c>
      <c r="C156" s="20">
        <v>45427</v>
      </c>
      <c r="D156" s="21"/>
      <c r="E156" s="19" t="s">
        <v>374</v>
      </c>
      <c r="F156" s="19" t="s">
        <v>365</v>
      </c>
      <c r="G156" s="19" t="s">
        <v>365</v>
      </c>
      <c r="H156" s="19" t="s">
        <v>543</v>
      </c>
      <c r="I156" s="21"/>
      <c r="J156" s="45">
        <v>7926335</v>
      </c>
      <c r="K156" s="45">
        <f t="shared" si="4"/>
        <v>-7926335</v>
      </c>
      <c r="L156" s="45">
        <f>IF(I156=0,0,I156/LOOKUP(C156,Settings!$F$5:$F$20,Settings!$G$5:$G$20))</f>
        <v>0</v>
      </c>
      <c r="M156" s="45">
        <f>IF(J156=0,0,J156/LOOKUP(C156,Settings!$F$5:$F$20,Settings!$G$5:$G$20))</f>
        <v>657.78713692946053</v>
      </c>
      <c r="N156" s="45">
        <f t="shared" si="5"/>
        <v>-657.78713692946053</v>
      </c>
      <c r="O156" s="21"/>
    </row>
    <row r="157" spans="1:15" x14ac:dyDescent="0.2">
      <c r="A157" s="13">
        <v>155</v>
      </c>
      <c r="B157" s="13" t="s">
        <v>544</v>
      </c>
      <c r="C157" s="14">
        <v>45427</v>
      </c>
      <c r="D157" s="15"/>
      <c r="E157" s="13" t="s">
        <v>376</v>
      </c>
      <c r="F157" s="13" t="s">
        <v>365</v>
      </c>
      <c r="G157" s="13" t="s">
        <v>365</v>
      </c>
      <c r="H157" s="13" t="s">
        <v>544</v>
      </c>
      <c r="I157" s="15"/>
      <c r="J157" s="44">
        <v>5221184</v>
      </c>
      <c r="K157" s="44">
        <f t="shared" si="4"/>
        <v>-5221184</v>
      </c>
      <c r="L157" s="44">
        <f>IF(I157=0,0,I157/LOOKUP(C157,Settings!$F$5:$F$20,Settings!$G$5:$G$20))</f>
        <v>0</v>
      </c>
      <c r="M157" s="44">
        <f>IF(J157=0,0,J157/LOOKUP(C157,Settings!$F$5:$F$20,Settings!$G$5:$G$20))</f>
        <v>433.29327800829873</v>
      </c>
      <c r="N157" s="44">
        <f t="shared" si="5"/>
        <v>-433.29327800829873</v>
      </c>
      <c r="O157" s="15"/>
    </row>
    <row r="158" spans="1:15" x14ac:dyDescent="0.2">
      <c r="A158" s="19">
        <v>156</v>
      </c>
      <c r="B158" s="19" t="s">
        <v>545</v>
      </c>
      <c r="C158" s="20">
        <v>45432</v>
      </c>
      <c r="D158" s="21"/>
      <c r="E158" s="19" t="s">
        <v>381</v>
      </c>
      <c r="F158" s="19" t="s">
        <v>382</v>
      </c>
      <c r="G158" s="19" t="s">
        <v>382</v>
      </c>
      <c r="H158" s="19" t="s">
        <v>545</v>
      </c>
      <c r="I158" s="21"/>
      <c r="J158" s="45">
        <v>93266821</v>
      </c>
      <c r="K158" s="45">
        <f t="shared" si="4"/>
        <v>-93266821</v>
      </c>
      <c r="L158" s="45">
        <f>IF(I158=0,0,I158/LOOKUP(C158,Settings!$F$5:$F$20,Settings!$G$5:$G$20))</f>
        <v>0</v>
      </c>
      <c r="M158" s="45">
        <f>IF(J158=0,0,J158/LOOKUP(C158,Settings!$F$5:$F$20,Settings!$G$5:$G$20))</f>
        <v>7739.9851452282155</v>
      </c>
      <c r="N158" s="45">
        <f t="shared" si="5"/>
        <v>-7739.9851452282155</v>
      </c>
      <c r="O158" s="21"/>
    </row>
    <row r="159" spans="1:15" x14ac:dyDescent="0.2">
      <c r="A159" s="13">
        <v>157</v>
      </c>
      <c r="B159" s="13" t="s">
        <v>546</v>
      </c>
      <c r="C159" s="14">
        <v>45440</v>
      </c>
      <c r="D159" s="15"/>
      <c r="E159" s="13" t="s">
        <v>384</v>
      </c>
      <c r="F159" s="13" t="s">
        <v>382</v>
      </c>
      <c r="G159" s="13" t="s">
        <v>382</v>
      </c>
      <c r="H159" s="13" t="s">
        <v>546</v>
      </c>
      <c r="I159" s="15"/>
      <c r="J159" s="44">
        <v>357000000</v>
      </c>
      <c r="K159" s="44">
        <f t="shared" si="4"/>
        <v>-357000000</v>
      </c>
      <c r="L159" s="44">
        <f>IF(I159=0,0,I159/LOOKUP(C159,Settings!$F$5:$F$20,Settings!$G$5:$G$20))</f>
        <v>0</v>
      </c>
      <c r="M159" s="44">
        <f>IF(J159=0,0,J159/LOOKUP(C159,Settings!$F$5:$F$20,Settings!$G$5:$G$20))</f>
        <v>29626.556016597511</v>
      </c>
      <c r="N159" s="44">
        <f t="shared" si="5"/>
        <v>-29626.556016597511</v>
      </c>
      <c r="O159" s="13" t="s">
        <v>385</v>
      </c>
    </row>
    <row r="160" spans="1:15" x14ac:dyDescent="0.2">
      <c r="A160" s="19">
        <v>158</v>
      </c>
      <c r="B160" s="19" t="s">
        <v>547</v>
      </c>
      <c r="C160" s="20">
        <v>45440</v>
      </c>
      <c r="D160" s="21"/>
      <c r="E160" s="19" t="s">
        <v>387</v>
      </c>
      <c r="F160" s="19" t="s">
        <v>382</v>
      </c>
      <c r="G160" s="19" t="s">
        <v>222</v>
      </c>
      <c r="H160" s="19" t="s">
        <v>547</v>
      </c>
      <c r="I160" s="21"/>
      <c r="J160" s="45">
        <v>51603858</v>
      </c>
      <c r="K160" s="45">
        <f t="shared" si="4"/>
        <v>-51603858</v>
      </c>
      <c r="L160" s="45">
        <f>IF(I160=0,0,I160/LOOKUP(C160,Settings!$F$5:$F$20,Settings!$G$5:$G$20))</f>
        <v>0</v>
      </c>
      <c r="M160" s="45">
        <f>IF(J160=0,0,J160/LOOKUP(C160,Settings!$F$5:$F$20,Settings!$G$5:$G$20))</f>
        <v>4282.4778423236512</v>
      </c>
      <c r="N160" s="45">
        <f t="shared" si="5"/>
        <v>-4282.4778423236512</v>
      </c>
      <c r="O160" s="21"/>
    </row>
    <row r="161" spans="1:15" x14ac:dyDescent="0.2">
      <c r="A161" s="13">
        <v>159</v>
      </c>
      <c r="B161" s="13" t="s">
        <v>548</v>
      </c>
      <c r="C161" s="14">
        <v>45453</v>
      </c>
      <c r="D161" s="15"/>
      <c r="E161" s="13" t="s">
        <v>372</v>
      </c>
      <c r="F161" s="13" t="s">
        <v>365</v>
      </c>
      <c r="G161" s="13" t="s">
        <v>365</v>
      </c>
      <c r="H161" s="13" t="s">
        <v>548</v>
      </c>
      <c r="I161" s="15"/>
      <c r="J161" s="44">
        <v>15000000</v>
      </c>
      <c r="K161" s="44">
        <f t="shared" si="4"/>
        <v>-15000000</v>
      </c>
      <c r="L161" s="44">
        <f>IF(I161=0,0,I161/LOOKUP(C161,Settings!$F$5:$F$20,Settings!$G$5:$G$20))</f>
        <v>0</v>
      </c>
      <c r="M161" s="44">
        <f>IF(J161=0,0,J161/LOOKUP(C161,Settings!$F$5:$F$20,Settings!$G$5:$G$20))</f>
        <v>1244.8132780082988</v>
      </c>
      <c r="N161" s="44">
        <f t="shared" si="5"/>
        <v>-1244.8132780082988</v>
      </c>
      <c r="O161" s="15"/>
    </row>
    <row r="162" spans="1:15" x14ac:dyDescent="0.2">
      <c r="A162" s="19">
        <v>160</v>
      </c>
      <c r="B162" s="19" t="s">
        <v>549</v>
      </c>
      <c r="C162" s="20">
        <v>45458</v>
      </c>
      <c r="D162" s="21"/>
      <c r="E162" s="19" t="s">
        <v>374</v>
      </c>
      <c r="F162" s="19" t="s">
        <v>365</v>
      </c>
      <c r="G162" s="19" t="s">
        <v>365</v>
      </c>
      <c r="H162" s="19" t="s">
        <v>549</v>
      </c>
      <c r="I162" s="21"/>
      <c r="J162" s="45">
        <v>8750828</v>
      </c>
      <c r="K162" s="45">
        <f t="shared" si="4"/>
        <v>-8750828</v>
      </c>
      <c r="L162" s="45">
        <f>IF(I162=0,0,I162/LOOKUP(C162,Settings!$F$5:$F$20,Settings!$G$5:$G$20))</f>
        <v>0</v>
      </c>
      <c r="M162" s="45">
        <f>IF(J162=0,0,J162/LOOKUP(C162,Settings!$F$5:$F$20,Settings!$G$5:$G$20))</f>
        <v>726.20979253112034</v>
      </c>
      <c r="N162" s="45">
        <f t="shared" si="5"/>
        <v>-726.20979253112034</v>
      </c>
      <c r="O162" s="21"/>
    </row>
    <row r="163" spans="1:15" x14ac:dyDescent="0.2">
      <c r="A163" s="13">
        <v>161</v>
      </c>
      <c r="B163" s="13" t="s">
        <v>550</v>
      </c>
      <c r="C163" s="14">
        <v>45458</v>
      </c>
      <c r="D163" s="15"/>
      <c r="E163" s="13" t="s">
        <v>376</v>
      </c>
      <c r="F163" s="13" t="s">
        <v>365</v>
      </c>
      <c r="G163" s="13" t="s">
        <v>365</v>
      </c>
      <c r="H163" s="13" t="s">
        <v>550</v>
      </c>
      <c r="I163" s="15"/>
      <c r="J163" s="44">
        <v>6868981</v>
      </c>
      <c r="K163" s="44">
        <f t="shared" si="4"/>
        <v>-6868981</v>
      </c>
      <c r="L163" s="44">
        <f>IF(I163=0,0,I163/LOOKUP(C163,Settings!$F$5:$F$20,Settings!$G$5:$G$20))</f>
        <v>0</v>
      </c>
      <c r="M163" s="44">
        <f>IF(J163=0,0,J163/LOOKUP(C163,Settings!$F$5:$F$20,Settings!$G$5:$G$20))</f>
        <v>570.03991701244809</v>
      </c>
      <c r="N163" s="44">
        <f t="shared" si="5"/>
        <v>-570.03991701244809</v>
      </c>
      <c r="O163" s="15"/>
    </row>
    <row r="164" spans="1:15" x14ac:dyDescent="0.2">
      <c r="A164" s="19">
        <v>162</v>
      </c>
      <c r="B164" s="19" t="s">
        <v>551</v>
      </c>
      <c r="C164" s="20">
        <v>45463</v>
      </c>
      <c r="D164" s="19" t="s">
        <v>552</v>
      </c>
      <c r="E164" s="21"/>
      <c r="F164" s="19" t="s">
        <v>224</v>
      </c>
      <c r="G164" s="19" t="s">
        <v>222</v>
      </c>
      <c r="H164" s="19" t="s">
        <v>130</v>
      </c>
      <c r="I164" s="21"/>
      <c r="J164" s="45">
        <v>43049547</v>
      </c>
      <c r="K164" s="45">
        <f t="shared" si="4"/>
        <v>-43049547</v>
      </c>
      <c r="L164" s="45">
        <f>IF(I164=0,0,I164/LOOKUP(C164,Settings!$F$5:$F$20,Settings!$G$5:$G$20))</f>
        <v>0</v>
      </c>
      <c r="M164" s="45">
        <f>IF(J164=0,0,J164/LOOKUP(C164,Settings!$F$5:$F$20,Settings!$G$5:$G$20))</f>
        <v>3572.5765145228215</v>
      </c>
      <c r="N164" s="45">
        <f t="shared" si="5"/>
        <v>-3572.5765145228215</v>
      </c>
      <c r="O164" s="19" t="s">
        <v>379</v>
      </c>
    </row>
    <row r="165" spans="1:15" x14ac:dyDescent="0.2">
      <c r="A165" s="13">
        <v>163</v>
      </c>
      <c r="B165" s="13" t="s">
        <v>553</v>
      </c>
      <c r="C165" s="14">
        <v>45463</v>
      </c>
      <c r="D165" s="15"/>
      <c r="E165" s="13" t="s">
        <v>381</v>
      </c>
      <c r="F165" s="13" t="s">
        <v>382</v>
      </c>
      <c r="G165" s="13" t="s">
        <v>382</v>
      </c>
      <c r="H165" s="13" t="s">
        <v>553</v>
      </c>
      <c r="I165" s="15"/>
      <c r="J165" s="44">
        <v>90818540</v>
      </c>
      <c r="K165" s="44">
        <f t="shared" si="4"/>
        <v>-90818540</v>
      </c>
      <c r="L165" s="44">
        <f>IF(I165=0,0,I165/LOOKUP(C165,Settings!$F$5:$F$20,Settings!$G$5:$G$20))</f>
        <v>0</v>
      </c>
      <c r="M165" s="44">
        <f>IF(J165=0,0,J165/LOOKUP(C165,Settings!$F$5:$F$20,Settings!$G$5:$G$20))</f>
        <v>7536.808298755187</v>
      </c>
      <c r="N165" s="44">
        <f t="shared" si="5"/>
        <v>-7536.808298755187</v>
      </c>
      <c r="O165" s="15"/>
    </row>
    <row r="166" spans="1:15" x14ac:dyDescent="0.2">
      <c r="A166" s="19">
        <v>164</v>
      </c>
      <c r="B166" s="19" t="s">
        <v>554</v>
      </c>
      <c r="C166" s="20">
        <v>45471</v>
      </c>
      <c r="D166" s="21"/>
      <c r="E166" s="19" t="s">
        <v>384</v>
      </c>
      <c r="F166" s="19" t="s">
        <v>382</v>
      </c>
      <c r="G166" s="19" t="s">
        <v>382</v>
      </c>
      <c r="H166" s="19" t="s">
        <v>554</v>
      </c>
      <c r="I166" s="21"/>
      <c r="J166" s="45">
        <v>357000000</v>
      </c>
      <c r="K166" s="45">
        <f t="shared" si="4"/>
        <v>-357000000</v>
      </c>
      <c r="L166" s="45">
        <f>IF(I166=0,0,I166/LOOKUP(C166,Settings!$F$5:$F$20,Settings!$G$5:$G$20))</f>
        <v>0</v>
      </c>
      <c r="M166" s="45">
        <f>IF(J166=0,0,J166/LOOKUP(C166,Settings!$F$5:$F$20,Settings!$G$5:$G$20))</f>
        <v>29626.556016597511</v>
      </c>
      <c r="N166" s="45">
        <f t="shared" si="5"/>
        <v>-29626.556016597511</v>
      </c>
      <c r="O166" s="19" t="s">
        <v>385</v>
      </c>
    </row>
    <row r="167" spans="1:15" x14ac:dyDescent="0.2">
      <c r="A167" s="13">
        <v>165</v>
      </c>
      <c r="B167" s="13" t="s">
        <v>555</v>
      </c>
      <c r="C167" s="14">
        <v>45471</v>
      </c>
      <c r="D167" s="15"/>
      <c r="E167" s="13" t="s">
        <v>387</v>
      </c>
      <c r="F167" s="13" t="s">
        <v>382</v>
      </c>
      <c r="G167" s="13" t="s">
        <v>222</v>
      </c>
      <c r="H167" s="13" t="s">
        <v>555</v>
      </c>
      <c r="I167" s="15"/>
      <c r="J167" s="44">
        <v>50376723</v>
      </c>
      <c r="K167" s="44">
        <f t="shared" si="4"/>
        <v>-50376723</v>
      </c>
      <c r="L167" s="44">
        <f>IF(I167=0,0,I167/LOOKUP(C167,Settings!$F$5:$F$20,Settings!$G$5:$G$20))</f>
        <v>0</v>
      </c>
      <c r="M167" s="44">
        <f>IF(J167=0,0,J167/LOOKUP(C167,Settings!$F$5:$F$20,Settings!$G$5:$G$20))</f>
        <v>4180.6409128630703</v>
      </c>
      <c r="N167" s="44">
        <f t="shared" si="5"/>
        <v>-4180.6409128630703</v>
      </c>
      <c r="O167" s="15"/>
    </row>
    <row r="168" spans="1:15" x14ac:dyDescent="0.2">
      <c r="A168" s="19">
        <v>166</v>
      </c>
      <c r="B168" s="19" t="s">
        <v>556</v>
      </c>
      <c r="C168" s="20">
        <v>45478</v>
      </c>
      <c r="D168" s="21"/>
      <c r="E168" s="19" t="s">
        <v>363</v>
      </c>
      <c r="F168" s="19" t="s">
        <v>364</v>
      </c>
      <c r="G168" s="19" t="s">
        <v>365</v>
      </c>
      <c r="H168" s="19" t="s">
        <v>556</v>
      </c>
      <c r="I168" s="21"/>
      <c r="J168" s="45">
        <v>32000000</v>
      </c>
      <c r="K168" s="45">
        <f t="shared" si="4"/>
        <v>-32000000</v>
      </c>
      <c r="L168" s="45">
        <f>IF(I168=0,0,I168/LOOKUP(C168,Settings!$F$5:$F$20,Settings!$G$5:$G$20))</f>
        <v>0</v>
      </c>
      <c r="M168" s="45">
        <f>IF(J168=0,0,J168/LOOKUP(C168,Settings!$F$5:$F$20,Settings!$G$5:$G$20))</f>
        <v>2622.9508196721313</v>
      </c>
      <c r="N168" s="45">
        <f t="shared" si="5"/>
        <v>-2622.9508196721313</v>
      </c>
      <c r="O168" s="19" t="s">
        <v>366</v>
      </c>
    </row>
    <row r="169" spans="1:15" x14ac:dyDescent="0.2">
      <c r="A169" s="13">
        <v>167</v>
      </c>
      <c r="B169" s="13" t="s">
        <v>557</v>
      </c>
      <c r="C169" s="14">
        <v>45483</v>
      </c>
      <c r="D169" s="15"/>
      <c r="E169" s="13" t="s">
        <v>372</v>
      </c>
      <c r="F169" s="13" t="s">
        <v>365</v>
      </c>
      <c r="G169" s="13" t="s">
        <v>365</v>
      </c>
      <c r="H169" s="13" t="s">
        <v>557</v>
      </c>
      <c r="I169" s="15"/>
      <c r="J169" s="44">
        <v>15000000</v>
      </c>
      <c r="K169" s="44">
        <f t="shared" si="4"/>
        <v>-15000000</v>
      </c>
      <c r="L169" s="44">
        <f>IF(I169=0,0,I169/LOOKUP(C169,Settings!$F$5:$F$20,Settings!$G$5:$G$20))</f>
        <v>0</v>
      </c>
      <c r="M169" s="44">
        <f>IF(J169=0,0,J169/LOOKUP(C169,Settings!$F$5:$F$20,Settings!$G$5:$G$20))</f>
        <v>1229.5081967213114</v>
      </c>
      <c r="N169" s="44">
        <f t="shared" si="5"/>
        <v>-1229.5081967213114</v>
      </c>
      <c r="O169" s="15"/>
    </row>
    <row r="170" spans="1:15" x14ac:dyDescent="0.2">
      <c r="A170" s="19">
        <v>168</v>
      </c>
      <c r="B170" s="19" t="s">
        <v>558</v>
      </c>
      <c r="C170" s="20">
        <v>45488</v>
      </c>
      <c r="D170" s="21"/>
      <c r="E170" s="19" t="s">
        <v>374</v>
      </c>
      <c r="F170" s="19" t="s">
        <v>365</v>
      </c>
      <c r="G170" s="19" t="s">
        <v>365</v>
      </c>
      <c r="H170" s="19" t="s">
        <v>558</v>
      </c>
      <c r="I170" s="21"/>
      <c r="J170" s="45">
        <v>7954054</v>
      </c>
      <c r="K170" s="45">
        <f t="shared" si="4"/>
        <v>-7954054</v>
      </c>
      <c r="L170" s="45">
        <f>IF(I170=0,0,I170/LOOKUP(C170,Settings!$F$5:$F$20,Settings!$G$5:$G$20))</f>
        <v>0</v>
      </c>
      <c r="M170" s="45">
        <f>IF(J170=0,0,J170/LOOKUP(C170,Settings!$F$5:$F$20,Settings!$G$5:$G$20))</f>
        <v>651.97163934426226</v>
      </c>
      <c r="N170" s="45">
        <f t="shared" si="5"/>
        <v>-651.97163934426226</v>
      </c>
      <c r="O170" s="21"/>
    </row>
    <row r="171" spans="1:15" x14ac:dyDescent="0.2">
      <c r="A171" s="13">
        <v>169</v>
      </c>
      <c r="B171" s="13" t="s">
        <v>559</v>
      </c>
      <c r="C171" s="14">
        <v>45488</v>
      </c>
      <c r="D171" s="15"/>
      <c r="E171" s="13" t="s">
        <v>376</v>
      </c>
      <c r="F171" s="13" t="s">
        <v>365</v>
      </c>
      <c r="G171" s="13" t="s">
        <v>365</v>
      </c>
      <c r="H171" s="13" t="s">
        <v>559</v>
      </c>
      <c r="I171" s="15"/>
      <c r="J171" s="44">
        <v>6239402</v>
      </c>
      <c r="K171" s="44">
        <f t="shared" si="4"/>
        <v>-6239402</v>
      </c>
      <c r="L171" s="44">
        <f>IF(I171=0,0,I171/LOOKUP(C171,Settings!$F$5:$F$20,Settings!$G$5:$G$20))</f>
        <v>0</v>
      </c>
      <c r="M171" s="44">
        <f>IF(J171=0,0,J171/LOOKUP(C171,Settings!$F$5:$F$20,Settings!$G$5:$G$20))</f>
        <v>511.42639344262295</v>
      </c>
      <c r="N171" s="44">
        <f t="shared" si="5"/>
        <v>-511.42639344262295</v>
      </c>
      <c r="O171" s="15"/>
    </row>
    <row r="172" spans="1:15" x14ac:dyDescent="0.2">
      <c r="A172" s="19">
        <v>170</v>
      </c>
      <c r="B172" s="19" t="s">
        <v>560</v>
      </c>
      <c r="C172" s="20">
        <v>45493</v>
      </c>
      <c r="D172" s="21"/>
      <c r="E172" s="19" t="s">
        <v>381</v>
      </c>
      <c r="F172" s="19" t="s">
        <v>382</v>
      </c>
      <c r="G172" s="19" t="s">
        <v>382</v>
      </c>
      <c r="H172" s="19" t="s">
        <v>560</v>
      </c>
      <c r="I172" s="21"/>
      <c r="J172" s="45">
        <v>83775457</v>
      </c>
      <c r="K172" s="45">
        <f t="shared" si="4"/>
        <v>-83775457</v>
      </c>
      <c r="L172" s="45">
        <f>IF(I172=0,0,I172/LOOKUP(C172,Settings!$F$5:$F$20,Settings!$G$5:$G$20))</f>
        <v>0</v>
      </c>
      <c r="M172" s="45">
        <f>IF(J172=0,0,J172/LOOKUP(C172,Settings!$F$5:$F$20,Settings!$G$5:$G$20))</f>
        <v>6866.840737704918</v>
      </c>
      <c r="N172" s="45">
        <f t="shared" si="5"/>
        <v>-6866.840737704918</v>
      </c>
      <c r="O172" s="21"/>
    </row>
    <row r="173" spans="1:15" x14ac:dyDescent="0.2">
      <c r="A173" s="13">
        <v>171</v>
      </c>
      <c r="B173" s="13" t="s">
        <v>561</v>
      </c>
      <c r="C173" s="14">
        <v>45497</v>
      </c>
      <c r="D173" s="15"/>
      <c r="E173" s="13" t="s">
        <v>368</v>
      </c>
      <c r="F173" s="13" t="s">
        <v>369</v>
      </c>
      <c r="G173" s="13" t="s">
        <v>370</v>
      </c>
      <c r="H173" s="13" t="s">
        <v>561</v>
      </c>
      <c r="I173" s="15"/>
      <c r="J173" s="44">
        <v>4485402</v>
      </c>
      <c r="K173" s="44">
        <f t="shared" si="4"/>
        <v>-4485402</v>
      </c>
      <c r="L173" s="44">
        <f>IF(I173=0,0,I173/LOOKUP(C173,Settings!$F$5:$F$20,Settings!$G$5:$G$20))</f>
        <v>0</v>
      </c>
      <c r="M173" s="44">
        <f>IF(J173=0,0,J173/LOOKUP(C173,Settings!$F$5:$F$20,Settings!$G$5:$G$20))</f>
        <v>367.65590163934428</v>
      </c>
      <c r="N173" s="44">
        <f t="shared" si="5"/>
        <v>-367.65590163934428</v>
      </c>
      <c r="O173" s="15"/>
    </row>
    <row r="174" spans="1:15" x14ac:dyDescent="0.2">
      <c r="A174" s="19">
        <v>172</v>
      </c>
      <c r="B174" s="19" t="s">
        <v>562</v>
      </c>
      <c r="C174" s="20">
        <v>45501</v>
      </c>
      <c r="D174" s="21"/>
      <c r="E174" s="19" t="s">
        <v>384</v>
      </c>
      <c r="F174" s="19" t="s">
        <v>382</v>
      </c>
      <c r="G174" s="19" t="s">
        <v>382</v>
      </c>
      <c r="H174" s="19" t="s">
        <v>562</v>
      </c>
      <c r="I174" s="21"/>
      <c r="J174" s="45">
        <v>357000000</v>
      </c>
      <c r="K174" s="45">
        <f t="shared" si="4"/>
        <v>-357000000</v>
      </c>
      <c r="L174" s="45">
        <f>IF(I174=0,0,I174/LOOKUP(C174,Settings!$F$5:$F$20,Settings!$G$5:$G$20))</f>
        <v>0</v>
      </c>
      <c r="M174" s="45">
        <f>IF(J174=0,0,J174/LOOKUP(C174,Settings!$F$5:$F$20,Settings!$G$5:$G$20))</f>
        <v>29262.295081967211</v>
      </c>
      <c r="N174" s="45">
        <f t="shared" si="5"/>
        <v>-29262.295081967211</v>
      </c>
      <c r="O174" s="19" t="s">
        <v>385</v>
      </c>
    </row>
    <row r="175" spans="1:15" x14ac:dyDescent="0.2">
      <c r="A175" s="13">
        <v>173</v>
      </c>
      <c r="B175" s="13" t="s">
        <v>563</v>
      </c>
      <c r="C175" s="14">
        <v>45514</v>
      </c>
      <c r="D175" s="15"/>
      <c r="E175" s="13" t="s">
        <v>372</v>
      </c>
      <c r="F175" s="13" t="s">
        <v>365</v>
      </c>
      <c r="G175" s="13" t="s">
        <v>365</v>
      </c>
      <c r="H175" s="13" t="s">
        <v>563</v>
      </c>
      <c r="I175" s="15"/>
      <c r="J175" s="44">
        <v>15000000</v>
      </c>
      <c r="K175" s="44">
        <f t="shared" si="4"/>
        <v>-15000000</v>
      </c>
      <c r="L175" s="44">
        <f>IF(I175=0,0,I175/LOOKUP(C175,Settings!$F$5:$F$20,Settings!$G$5:$G$20))</f>
        <v>0</v>
      </c>
      <c r="M175" s="44">
        <f>IF(J175=0,0,J175/LOOKUP(C175,Settings!$F$5:$F$20,Settings!$G$5:$G$20))</f>
        <v>1229.5081967213114</v>
      </c>
      <c r="N175" s="44">
        <f t="shared" si="5"/>
        <v>-1229.5081967213114</v>
      </c>
      <c r="O175" s="15"/>
    </row>
    <row r="176" spans="1:15" x14ac:dyDescent="0.2">
      <c r="A176" s="19">
        <v>174</v>
      </c>
      <c r="B176" s="19" t="s">
        <v>564</v>
      </c>
      <c r="C176" s="20">
        <v>45519</v>
      </c>
      <c r="D176" s="21"/>
      <c r="E176" s="19" t="s">
        <v>374</v>
      </c>
      <c r="F176" s="19" t="s">
        <v>365</v>
      </c>
      <c r="G176" s="19" t="s">
        <v>365</v>
      </c>
      <c r="H176" s="19" t="s">
        <v>564</v>
      </c>
      <c r="I176" s="21"/>
      <c r="J176" s="45">
        <v>8391222</v>
      </c>
      <c r="K176" s="45">
        <f t="shared" si="4"/>
        <v>-8391222</v>
      </c>
      <c r="L176" s="45">
        <f>IF(I176=0,0,I176/LOOKUP(C176,Settings!$F$5:$F$20,Settings!$G$5:$G$20))</f>
        <v>0</v>
      </c>
      <c r="M176" s="45">
        <f>IF(J176=0,0,J176/LOOKUP(C176,Settings!$F$5:$F$20,Settings!$G$5:$G$20))</f>
        <v>687.80508196721314</v>
      </c>
      <c r="N176" s="45">
        <f t="shared" si="5"/>
        <v>-687.80508196721314</v>
      </c>
      <c r="O176" s="21"/>
    </row>
    <row r="177" spans="1:15" x14ac:dyDescent="0.2">
      <c r="A177" s="13">
        <v>175</v>
      </c>
      <c r="B177" s="13" t="s">
        <v>565</v>
      </c>
      <c r="C177" s="14">
        <v>45519</v>
      </c>
      <c r="D177" s="15"/>
      <c r="E177" s="13" t="s">
        <v>376</v>
      </c>
      <c r="F177" s="13" t="s">
        <v>365</v>
      </c>
      <c r="G177" s="13" t="s">
        <v>365</v>
      </c>
      <c r="H177" s="13" t="s">
        <v>565</v>
      </c>
      <c r="I177" s="15"/>
      <c r="J177" s="44">
        <v>5483555</v>
      </c>
      <c r="K177" s="44">
        <f t="shared" si="4"/>
        <v>-5483555</v>
      </c>
      <c r="L177" s="44">
        <f>IF(I177=0,0,I177/LOOKUP(C177,Settings!$F$5:$F$20,Settings!$G$5:$G$20))</f>
        <v>0</v>
      </c>
      <c r="M177" s="44">
        <f>IF(J177=0,0,J177/LOOKUP(C177,Settings!$F$5:$F$20,Settings!$G$5:$G$20))</f>
        <v>449.47172131147539</v>
      </c>
      <c r="N177" s="44">
        <f t="shared" si="5"/>
        <v>-449.47172131147539</v>
      </c>
      <c r="O177" s="15"/>
    </row>
    <row r="178" spans="1:15" x14ac:dyDescent="0.2">
      <c r="A178" s="19">
        <v>176</v>
      </c>
      <c r="B178" s="19" t="s">
        <v>566</v>
      </c>
      <c r="C178" s="20">
        <v>45524</v>
      </c>
      <c r="D178" s="19" t="s">
        <v>567</v>
      </c>
      <c r="E178" s="21"/>
      <c r="F178" s="19" t="s">
        <v>224</v>
      </c>
      <c r="G178" s="19" t="s">
        <v>222</v>
      </c>
      <c r="H178" s="19" t="s">
        <v>139</v>
      </c>
      <c r="I178" s="21"/>
      <c r="J178" s="45">
        <v>118043408</v>
      </c>
      <c r="K178" s="45">
        <f t="shared" si="4"/>
        <v>-118043408</v>
      </c>
      <c r="L178" s="45">
        <f>IF(I178=0,0,I178/LOOKUP(C178,Settings!$F$5:$F$20,Settings!$G$5:$G$20))</f>
        <v>0</v>
      </c>
      <c r="M178" s="45">
        <f>IF(J178=0,0,J178/LOOKUP(C178,Settings!$F$5:$F$20,Settings!$G$5:$G$20))</f>
        <v>9675.6891803278686</v>
      </c>
      <c r="N178" s="45">
        <f t="shared" si="5"/>
        <v>-9675.6891803278686</v>
      </c>
      <c r="O178" s="19" t="s">
        <v>379</v>
      </c>
    </row>
    <row r="179" spans="1:15" x14ac:dyDescent="0.2">
      <c r="A179" s="13">
        <v>177</v>
      </c>
      <c r="B179" s="13" t="s">
        <v>568</v>
      </c>
      <c r="C179" s="14">
        <v>45524</v>
      </c>
      <c r="D179" s="15"/>
      <c r="E179" s="13" t="s">
        <v>381</v>
      </c>
      <c r="F179" s="13" t="s">
        <v>382</v>
      </c>
      <c r="G179" s="13" t="s">
        <v>382</v>
      </c>
      <c r="H179" s="13" t="s">
        <v>568</v>
      </c>
      <c r="I179" s="15"/>
      <c r="J179" s="44">
        <v>77574097</v>
      </c>
      <c r="K179" s="44">
        <f t="shared" si="4"/>
        <v>-77574097</v>
      </c>
      <c r="L179" s="44">
        <f>IF(I179=0,0,I179/LOOKUP(C179,Settings!$F$5:$F$20,Settings!$G$5:$G$20))</f>
        <v>0</v>
      </c>
      <c r="M179" s="44">
        <f>IF(J179=0,0,J179/LOOKUP(C179,Settings!$F$5:$F$20,Settings!$G$5:$G$20))</f>
        <v>6358.5325409836069</v>
      </c>
      <c r="N179" s="44">
        <f t="shared" si="5"/>
        <v>-6358.5325409836069</v>
      </c>
      <c r="O179" s="15"/>
    </row>
    <row r="180" spans="1:15" x14ac:dyDescent="0.2">
      <c r="A180" s="19">
        <v>178</v>
      </c>
      <c r="B180" s="19" t="s">
        <v>569</v>
      </c>
      <c r="C180" s="20">
        <v>45532</v>
      </c>
      <c r="D180" s="21"/>
      <c r="E180" s="19" t="s">
        <v>384</v>
      </c>
      <c r="F180" s="19" t="s">
        <v>382</v>
      </c>
      <c r="G180" s="19" t="s">
        <v>382</v>
      </c>
      <c r="H180" s="19" t="s">
        <v>569</v>
      </c>
      <c r="I180" s="21"/>
      <c r="J180" s="45">
        <v>357000000</v>
      </c>
      <c r="K180" s="45">
        <f t="shared" si="4"/>
        <v>-357000000</v>
      </c>
      <c r="L180" s="45">
        <f>IF(I180=0,0,I180/LOOKUP(C180,Settings!$F$5:$F$20,Settings!$G$5:$G$20))</f>
        <v>0</v>
      </c>
      <c r="M180" s="45">
        <f>IF(J180=0,0,J180/LOOKUP(C180,Settings!$F$5:$F$20,Settings!$G$5:$G$20))</f>
        <v>29262.295081967211</v>
      </c>
      <c r="N180" s="45">
        <f t="shared" si="5"/>
        <v>-29262.295081967211</v>
      </c>
      <c r="O180" s="19" t="s">
        <v>385</v>
      </c>
    </row>
    <row r="181" spans="1:15" x14ac:dyDescent="0.2">
      <c r="A181" s="13">
        <v>179</v>
      </c>
      <c r="B181" s="13" t="s">
        <v>570</v>
      </c>
      <c r="C181" s="14">
        <v>45545</v>
      </c>
      <c r="D181" s="15"/>
      <c r="E181" s="13" t="s">
        <v>372</v>
      </c>
      <c r="F181" s="13" t="s">
        <v>365</v>
      </c>
      <c r="G181" s="13" t="s">
        <v>365</v>
      </c>
      <c r="H181" s="13" t="s">
        <v>570</v>
      </c>
      <c r="I181" s="15"/>
      <c r="J181" s="44">
        <v>15000000</v>
      </c>
      <c r="K181" s="44">
        <f t="shared" si="4"/>
        <v>-15000000</v>
      </c>
      <c r="L181" s="44">
        <f>IF(I181=0,0,I181/LOOKUP(C181,Settings!$F$5:$F$20,Settings!$G$5:$G$20))</f>
        <v>0</v>
      </c>
      <c r="M181" s="44">
        <f>IF(J181=0,0,J181/LOOKUP(C181,Settings!$F$5:$F$20,Settings!$G$5:$G$20))</f>
        <v>1229.5081967213114</v>
      </c>
      <c r="N181" s="44">
        <f t="shared" si="5"/>
        <v>-1229.5081967213114</v>
      </c>
      <c r="O181" s="15"/>
    </row>
    <row r="182" spans="1:15" x14ac:dyDescent="0.2">
      <c r="A182" s="19">
        <v>180</v>
      </c>
      <c r="B182" s="19" t="s">
        <v>571</v>
      </c>
      <c r="C182" s="20">
        <v>45550</v>
      </c>
      <c r="D182" s="21"/>
      <c r="E182" s="19" t="s">
        <v>374</v>
      </c>
      <c r="F182" s="19" t="s">
        <v>365</v>
      </c>
      <c r="G182" s="19" t="s">
        <v>365</v>
      </c>
      <c r="H182" s="19" t="s">
        <v>571</v>
      </c>
      <c r="I182" s="21"/>
      <c r="J182" s="45">
        <v>8456798</v>
      </c>
      <c r="K182" s="45">
        <f t="shared" si="4"/>
        <v>-8456798</v>
      </c>
      <c r="L182" s="45">
        <f>IF(I182=0,0,I182/LOOKUP(C182,Settings!$F$5:$F$20,Settings!$G$5:$G$20))</f>
        <v>0</v>
      </c>
      <c r="M182" s="45">
        <f>IF(J182=0,0,J182/LOOKUP(C182,Settings!$F$5:$F$20,Settings!$G$5:$G$20))</f>
        <v>693.18016393442622</v>
      </c>
      <c r="N182" s="45">
        <f t="shared" si="5"/>
        <v>-693.18016393442622</v>
      </c>
      <c r="O182" s="21"/>
    </row>
    <row r="183" spans="1:15" x14ac:dyDescent="0.2">
      <c r="A183" s="13">
        <v>181</v>
      </c>
      <c r="B183" s="13" t="s">
        <v>572</v>
      </c>
      <c r="C183" s="14">
        <v>45550</v>
      </c>
      <c r="D183" s="15"/>
      <c r="E183" s="13" t="s">
        <v>376</v>
      </c>
      <c r="F183" s="13" t="s">
        <v>365</v>
      </c>
      <c r="G183" s="13" t="s">
        <v>365</v>
      </c>
      <c r="H183" s="13" t="s">
        <v>572</v>
      </c>
      <c r="I183" s="15"/>
      <c r="J183" s="44">
        <v>5669670</v>
      </c>
      <c r="K183" s="44">
        <f t="shared" si="4"/>
        <v>-5669670</v>
      </c>
      <c r="L183" s="44">
        <f>IF(I183=0,0,I183/LOOKUP(C183,Settings!$F$5:$F$20,Settings!$G$5:$G$20))</f>
        <v>0</v>
      </c>
      <c r="M183" s="44">
        <f>IF(J183=0,0,J183/LOOKUP(C183,Settings!$F$5:$F$20,Settings!$G$5:$G$20))</f>
        <v>464.72704918032787</v>
      </c>
      <c r="N183" s="44">
        <f t="shared" si="5"/>
        <v>-464.72704918032787</v>
      </c>
      <c r="O183" s="15"/>
    </row>
    <row r="184" spans="1:15" x14ac:dyDescent="0.2">
      <c r="A184" s="19">
        <v>182</v>
      </c>
      <c r="B184" s="19" t="s">
        <v>573</v>
      </c>
      <c r="C184" s="20">
        <v>45555</v>
      </c>
      <c r="D184" s="21"/>
      <c r="E184" s="19" t="s">
        <v>381</v>
      </c>
      <c r="F184" s="19" t="s">
        <v>382</v>
      </c>
      <c r="G184" s="19" t="s">
        <v>382</v>
      </c>
      <c r="H184" s="19" t="s">
        <v>573</v>
      </c>
      <c r="I184" s="21"/>
      <c r="J184" s="45">
        <v>79437346</v>
      </c>
      <c r="K184" s="45">
        <f t="shared" si="4"/>
        <v>-79437346</v>
      </c>
      <c r="L184" s="45">
        <f>IF(I184=0,0,I184/LOOKUP(C184,Settings!$F$5:$F$20,Settings!$G$5:$G$20))</f>
        <v>0</v>
      </c>
      <c r="M184" s="45">
        <f>IF(J184=0,0,J184/LOOKUP(C184,Settings!$F$5:$F$20,Settings!$G$5:$G$20))</f>
        <v>6511.2578688524591</v>
      </c>
      <c r="N184" s="45">
        <f t="shared" si="5"/>
        <v>-6511.2578688524591</v>
      </c>
      <c r="O184" s="21"/>
    </row>
    <row r="185" spans="1:15" x14ac:dyDescent="0.2">
      <c r="A185" s="13">
        <v>183</v>
      </c>
      <c r="B185" s="13" t="s">
        <v>574</v>
      </c>
      <c r="C185" s="14">
        <v>45563</v>
      </c>
      <c r="D185" s="15"/>
      <c r="E185" s="13" t="s">
        <v>384</v>
      </c>
      <c r="F185" s="13" t="s">
        <v>382</v>
      </c>
      <c r="G185" s="13" t="s">
        <v>382</v>
      </c>
      <c r="H185" s="13" t="s">
        <v>574</v>
      </c>
      <c r="I185" s="15"/>
      <c r="J185" s="44">
        <v>357000000</v>
      </c>
      <c r="K185" s="44">
        <f t="shared" si="4"/>
        <v>-357000000</v>
      </c>
      <c r="L185" s="44">
        <f>IF(I185=0,0,I185/LOOKUP(C185,Settings!$F$5:$F$20,Settings!$G$5:$G$20))</f>
        <v>0</v>
      </c>
      <c r="M185" s="44">
        <f>IF(J185=0,0,J185/LOOKUP(C185,Settings!$F$5:$F$20,Settings!$G$5:$G$20))</f>
        <v>29262.295081967211</v>
      </c>
      <c r="N185" s="44">
        <f t="shared" si="5"/>
        <v>-29262.295081967211</v>
      </c>
      <c r="O185" s="13" t="s">
        <v>385</v>
      </c>
    </row>
    <row r="186" spans="1:15" x14ac:dyDescent="0.2">
      <c r="A186" s="19">
        <v>184</v>
      </c>
      <c r="B186" s="19" t="s">
        <v>575</v>
      </c>
      <c r="C186" s="20">
        <v>45575</v>
      </c>
      <c r="D186" s="21"/>
      <c r="E186" s="19" t="s">
        <v>372</v>
      </c>
      <c r="F186" s="19" t="s">
        <v>365</v>
      </c>
      <c r="G186" s="19" t="s">
        <v>365</v>
      </c>
      <c r="H186" s="19" t="s">
        <v>575</v>
      </c>
      <c r="I186" s="21"/>
      <c r="J186" s="45">
        <v>15000000</v>
      </c>
      <c r="K186" s="45">
        <f t="shared" si="4"/>
        <v>-15000000</v>
      </c>
      <c r="L186" s="45">
        <f>IF(I186=0,0,I186/LOOKUP(C186,Settings!$F$5:$F$20,Settings!$G$5:$G$20))</f>
        <v>0</v>
      </c>
      <c r="M186" s="45">
        <f>IF(J186=0,0,J186/LOOKUP(C186,Settings!$F$5:$F$20,Settings!$G$5:$G$20))</f>
        <v>1214.5748987854251</v>
      </c>
      <c r="N186" s="45">
        <f t="shared" si="5"/>
        <v>-1214.5748987854251</v>
      </c>
      <c r="O186" s="21"/>
    </row>
    <row r="187" spans="1:15" x14ac:dyDescent="0.2">
      <c r="A187" s="13">
        <v>185</v>
      </c>
      <c r="B187" s="13" t="s">
        <v>576</v>
      </c>
      <c r="C187" s="14">
        <v>45579</v>
      </c>
      <c r="D187" s="15"/>
      <c r="E187" s="13" t="s">
        <v>368</v>
      </c>
      <c r="F187" s="13" t="s">
        <v>369</v>
      </c>
      <c r="G187" s="13" t="s">
        <v>370</v>
      </c>
      <c r="H187" s="13" t="s">
        <v>576</v>
      </c>
      <c r="I187" s="15"/>
      <c r="J187" s="44">
        <v>5270443</v>
      </c>
      <c r="K187" s="44">
        <f t="shared" si="4"/>
        <v>-5270443</v>
      </c>
      <c r="L187" s="44">
        <f>IF(I187=0,0,I187/LOOKUP(C187,Settings!$F$5:$F$20,Settings!$G$5:$G$20))</f>
        <v>0</v>
      </c>
      <c r="M187" s="44">
        <f>IF(J187=0,0,J187/LOOKUP(C187,Settings!$F$5:$F$20,Settings!$G$5:$G$20))</f>
        <v>426.75651821862346</v>
      </c>
      <c r="N187" s="44">
        <f t="shared" si="5"/>
        <v>-426.75651821862346</v>
      </c>
      <c r="O187" s="15"/>
    </row>
    <row r="188" spans="1:15" x14ac:dyDescent="0.2">
      <c r="A188" s="19">
        <v>186</v>
      </c>
      <c r="B188" s="19" t="s">
        <v>577</v>
      </c>
      <c r="C188" s="20">
        <v>45580</v>
      </c>
      <c r="D188" s="21"/>
      <c r="E188" s="19" t="s">
        <v>374</v>
      </c>
      <c r="F188" s="19" t="s">
        <v>365</v>
      </c>
      <c r="G188" s="19" t="s">
        <v>365</v>
      </c>
      <c r="H188" s="19" t="s">
        <v>577</v>
      </c>
      <c r="I188" s="21"/>
      <c r="J188" s="45">
        <v>7445906</v>
      </c>
      <c r="K188" s="45">
        <f t="shared" si="4"/>
        <v>-7445906</v>
      </c>
      <c r="L188" s="45">
        <f>IF(I188=0,0,I188/LOOKUP(C188,Settings!$F$5:$F$20,Settings!$G$5:$G$20))</f>
        <v>0</v>
      </c>
      <c r="M188" s="45">
        <f>IF(J188=0,0,J188/LOOKUP(C188,Settings!$F$5:$F$20,Settings!$G$5:$G$20))</f>
        <v>602.90736842105264</v>
      </c>
      <c r="N188" s="45">
        <f t="shared" si="5"/>
        <v>-602.90736842105264</v>
      </c>
      <c r="O188" s="21"/>
    </row>
    <row r="189" spans="1:15" x14ac:dyDescent="0.2">
      <c r="A189" s="13">
        <v>187</v>
      </c>
      <c r="B189" s="13" t="s">
        <v>578</v>
      </c>
      <c r="C189" s="14">
        <v>45580</v>
      </c>
      <c r="D189" s="15"/>
      <c r="E189" s="13" t="s">
        <v>376</v>
      </c>
      <c r="F189" s="13" t="s">
        <v>365</v>
      </c>
      <c r="G189" s="13" t="s">
        <v>365</v>
      </c>
      <c r="H189" s="13" t="s">
        <v>578</v>
      </c>
      <c r="I189" s="15"/>
      <c r="J189" s="44">
        <v>5442597</v>
      </c>
      <c r="K189" s="44">
        <f t="shared" si="4"/>
        <v>-5442597</v>
      </c>
      <c r="L189" s="44">
        <f>IF(I189=0,0,I189/LOOKUP(C189,Settings!$F$5:$F$20,Settings!$G$5:$G$20))</f>
        <v>0</v>
      </c>
      <c r="M189" s="44">
        <f>IF(J189=0,0,J189/LOOKUP(C189,Settings!$F$5:$F$20,Settings!$G$5:$G$20))</f>
        <v>440.69611336032386</v>
      </c>
      <c r="N189" s="44">
        <f t="shared" si="5"/>
        <v>-440.69611336032386</v>
      </c>
      <c r="O189" s="15"/>
    </row>
    <row r="190" spans="1:15" x14ac:dyDescent="0.2">
      <c r="A190" s="19">
        <v>188</v>
      </c>
      <c r="B190" s="19" t="s">
        <v>579</v>
      </c>
      <c r="C190" s="20">
        <v>45585</v>
      </c>
      <c r="D190" s="19" t="s">
        <v>580</v>
      </c>
      <c r="E190" s="21"/>
      <c r="F190" s="19" t="s">
        <v>224</v>
      </c>
      <c r="G190" s="19" t="s">
        <v>222</v>
      </c>
      <c r="H190" s="19" t="s">
        <v>146</v>
      </c>
      <c r="I190" s="21"/>
      <c r="J190" s="45">
        <v>46977596</v>
      </c>
      <c r="K190" s="45">
        <f t="shared" si="4"/>
        <v>-46977596</v>
      </c>
      <c r="L190" s="45">
        <f>IF(I190=0,0,I190/LOOKUP(C190,Settings!$F$5:$F$20,Settings!$G$5:$G$20))</f>
        <v>0</v>
      </c>
      <c r="M190" s="45">
        <f>IF(J190=0,0,J190/LOOKUP(C190,Settings!$F$5:$F$20,Settings!$G$5:$G$20))</f>
        <v>3803.8539271255063</v>
      </c>
      <c r="N190" s="45">
        <f t="shared" si="5"/>
        <v>-3803.8539271255063</v>
      </c>
      <c r="O190" s="19" t="s">
        <v>379</v>
      </c>
    </row>
    <row r="191" spans="1:15" x14ac:dyDescent="0.2">
      <c r="A191" s="13">
        <v>189</v>
      </c>
      <c r="B191" s="13" t="s">
        <v>581</v>
      </c>
      <c r="C191" s="14">
        <v>45585</v>
      </c>
      <c r="D191" s="15"/>
      <c r="E191" s="13" t="s">
        <v>381</v>
      </c>
      <c r="F191" s="13" t="s">
        <v>382</v>
      </c>
      <c r="G191" s="13" t="s">
        <v>382</v>
      </c>
      <c r="H191" s="13" t="s">
        <v>581</v>
      </c>
      <c r="I191" s="15"/>
      <c r="J191" s="44">
        <v>90156432</v>
      </c>
      <c r="K191" s="44">
        <f t="shared" si="4"/>
        <v>-90156432</v>
      </c>
      <c r="L191" s="44">
        <f>IF(I191=0,0,I191/LOOKUP(C191,Settings!$F$5:$F$20,Settings!$G$5:$G$20))</f>
        <v>0</v>
      </c>
      <c r="M191" s="44">
        <f>IF(J191=0,0,J191/LOOKUP(C191,Settings!$F$5:$F$20,Settings!$G$5:$G$20))</f>
        <v>7300.115951417004</v>
      </c>
      <c r="N191" s="44">
        <f t="shared" si="5"/>
        <v>-7300.115951417004</v>
      </c>
      <c r="O191" s="15"/>
    </row>
    <row r="192" spans="1:15" x14ac:dyDescent="0.2">
      <c r="A192" s="19">
        <v>190</v>
      </c>
      <c r="B192" s="19" t="s">
        <v>582</v>
      </c>
      <c r="C192" s="20">
        <v>45593</v>
      </c>
      <c r="D192" s="21"/>
      <c r="E192" s="19" t="s">
        <v>384</v>
      </c>
      <c r="F192" s="19" t="s">
        <v>382</v>
      </c>
      <c r="G192" s="19" t="s">
        <v>382</v>
      </c>
      <c r="H192" s="19" t="s">
        <v>582</v>
      </c>
      <c r="I192" s="21"/>
      <c r="J192" s="45">
        <v>357000000</v>
      </c>
      <c r="K192" s="45">
        <f t="shared" si="4"/>
        <v>-357000000</v>
      </c>
      <c r="L192" s="45">
        <f>IF(I192=0,0,I192/LOOKUP(C192,Settings!$F$5:$F$20,Settings!$G$5:$G$20))</f>
        <v>0</v>
      </c>
      <c r="M192" s="45">
        <f>IF(J192=0,0,J192/LOOKUP(C192,Settings!$F$5:$F$20,Settings!$G$5:$G$20))</f>
        <v>28906.882591093119</v>
      </c>
      <c r="N192" s="45">
        <f t="shared" si="5"/>
        <v>-28906.882591093119</v>
      </c>
      <c r="O192" s="19" t="s">
        <v>385</v>
      </c>
    </row>
    <row r="193" spans="1:15" x14ac:dyDescent="0.2">
      <c r="A193" s="13">
        <v>191</v>
      </c>
      <c r="B193" s="13" t="s">
        <v>583</v>
      </c>
      <c r="C193" s="14">
        <v>45606</v>
      </c>
      <c r="D193" s="15"/>
      <c r="E193" s="13" t="s">
        <v>372</v>
      </c>
      <c r="F193" s="13" t="s">
        <v>365</v>
      </c>
      <c r="G193" s="13" t="s">
        <v>365</v>
      </c>
      <c r="H193" s="13" t="s">
        <v>583</v>
      </c>
      <c r="I193" s="15"/>
      <c r="J193" s="44">
        <v>15000000</v>
      </c>
      <c r="K193" s="44">
        <f t="shared" si="4"/>
        <v>-15000000</v>
      </c>
      <c r="L193" s="44">
        <f>IF(I193=0,0,I193/LOOKUP(C193,Settings!$F$5:$F$20,Settings!$G$5:$G$20))</f>
        <v>0</v>
      </c>
      <c r="M193" s="44">
        <f>IF(J193=0,0,J193/LOOKUP(C193,Settings!$F$5:$F$20,Settings!$G$5:$G$20))</f>
        <v>1214.5748987854251</v>
      </c>
      <c r="N193" s="44">
        <f t="shared" si="5"/>
        <v>-1214.5748987854251</v>
      </c>
      <c r="O193" s="15"/>
    </row>
    <row r="194" spans="1:15" x14ac:dyDescent="0.2">
      <c r="A194" s="19">
        <v>192</v>
      </c>
      <c r="B194" s="19" t="s">
        <v>584</v>
      </c>
      <c r="C194" s="20">
        <v>45611</v>
      </c>
      <c r="D194" s="21"/>
      <c r="E194" s="19" t="s">
        <v>374</v>
      </c>
      <c r="F194" s="19" t="s">
        <v>365</v>
      </c>
      <c r="G194" s="19" t="s">
        <v>365</v>
      </c>
      <c r="H194" s="19" t="s">
        <v>584</v>
      </c>
      <c r="I194" s="21"/>
      <c r="J194" s="45">
        <v>6462026</v>
      </c>
      <c r="K194" s="45">
        <f t="shared" si="4"/>
        <v>-6462026</v>
      </c>
      <c r="L194" s="45">
        <f>IF(I194=0,0,I194/LOOKUP(C194,Settings!$F$5:$F$20,Settings!$G$5:$G$20))</f>
        <v>0</v>
      </c>
      <c r="M194" s="45">
        <f>IF(J194=0,0,J194/LOOKUP(C194,Settings!$F$5:$F$20,Settings!$G$5:$G$20))</f>
        <v>523.24097165991907</v>
      </c>
      <c r="N194" s="45">
        <f t="shared" si="5"/>
        <v>-523.24097165991907</v>
      </c>
      <c r="O194" s="21"/>
    </row>
    <row r="195" spans="1:15" x14ac:dyDescent="0.2">
      <c r="A195" s="13">
        <v>193</v>
      </c>
      <c r="B195" s="13" t="s">
        <v>585</v>
      </c>
      <c r="C195" s="14">
        <v>45611</v>
      </c>
      <c r="D195" s="15"/>
      <c r="E195" s="13" t="s">
        <v>376</v>
      </c>
      <c r="F195" s="13" t="s">
        <v>365</v>
      </c>
      <c r="G195" s="13" t="s">
        <v>365</v>
      </c>
      <c r="H195" s="13" t="s">
        <v>585</v>
      </c>
      <c r="I195" s="15"/>
      <c r="J195" s="44">
        <v>7149746</v>
      </c>
      <c r="K195" s="44">
        <f t="shared" ref="K195:K258" si="6">I195-J195</f>
        <v>-7149746</v>
      </c>
      <c r="L195" s="44">
        <f>IF(I195=0,0,I195/LOOKUP(C195,Settings!$F$5:$F$20,Settings!$G$5:$G$20))</f>
        <v>0</v>
      </c>
      <c r="M195" s="44">
        <f>IF(J195=0,0,J195/LOOKUP(C195,Settings!$F$5:$F$20,Settings!$G$5:$G$20))</f>
        <v>578.92680161943315</v>
      </c>
      <c r="N195" s="44">
        <f t="shared" ref="N195:N258" si="7">L195-M195</f>
        <v>-578.92680161943315</v>
      </c>
      <c r="O195" s="15"/>
    </row>
    <row r="196" spans="1:15" x14ac:dyDescent="0.2">
      <c r="A196" s="19">
        <v>194</v>
      </c>
      <c r="B196" s="19" t="s">
        <v>586</v>
      </c>
      <c r="C196" s="20">
        <v>45616</v>
      </c>
      <c r="D196" s="21"/>
      <c r="E196" s="19" t="s">
        <v>381</v>
      </c>
      <c r="F196" s="19" t="s">
        <v>382</v>
      </c>
      <c r="G196" s="19" t="s">
        <v>382</v>
      </c>
      <c r="H196" s="19" t="s">
        <v>586</v>
      </c>
      <c r="I196" s="21"/>
      <c r="J196" s="45">
        <v>86355484</v>
      </c>
      <c r="K196" s="45">
        <f t="shared" si="6"/>
        <v>-86355484</v>
      </c>
      <c r="L196" s="45">
        <f>IF(I196=0,0,I196/LOOKUP(C196,Settings!$F$5:$F$20,Settings!$G$5:$G$20))</f>
        <v>0</v>
      </c>
      <c r="M196" s="45">
        <f>IF(J196=0,0,J196/LOOKUP(C196,Settings!$F$5:$F$20,Settings!$G$5:$G$20))</f>
        <v>6992.3468825910932</v>
      </c>
      <c r="N196" s="45">
        <f t="shared" si="7"/>
        <v>-6992.3468825910932</v>
      </c>
      <c r="O196" s="21"/>
    </row>
    <row r="197" spans="1:15" x14ac:dyDescent="0.2">
      <c r="A197" s="13">
        <v>195</v>
      </c>
      <c r="B197" s="13" t="s">
        <v>587</v>
      </c>
      <c r="C197" s="14">
        <v>45624</v>
      </c>
      <c r="D197" s="15"/>
      <c r="E197" s="13" t="s">
        <v>384</v>
      </c>
      <c r="F197" s="13" t="s">
        <v>382</v>
      </c>
      <c r="G197" s="13" t="s">
        <v>382</v>
      </c>
      <c r="H197" s="13" t="s">
        <v>587</v>
      </c>
      <c r="I197" s="15"/>
      <c r="J197" s="44">
        <v>357000000</v>
      </c>
      <c r="K197" s="44">
        <f t="shared" si="6"/>
        <v>-357000000</v>
      </c>
      <c r="L197" s="44">
        <f>IF(I197=0,0,I197/LOOKUP(C197,Settings!$F$5:$F$20,Settings!$G$5:$G$20))</f>
        <v>0</v>
      </c>
      <c r="M197" s="44">
        <f>IF(J197=0,0,J197/LOOKUP(C197,Settings!$F$5:$F$20,Settings!$G$5:$G$20))</f>
        <v>28906.882591093119</v>
      </c>
      <c r="N197" s="44">
        <f t="shared" si="7"/>
        <v>-28906.882591093119</v>
      </c>
      <c r="O197" s="13" t="s">
        <v>385</v>
      </c>
    </row>
    <row r="198" spans="1:15" x14ac:dyDescent="0.2">
      <c r="A198" s="19">
        <v>196</v>
      </c>
      <c r="B198" s="19" t="s">
        <v>588</v>
      </c>
      <c r="C198" s="20">
        <v>45636</v>
      </c>
      <c r="D198" s="21"/>
      <c r="E198" s="19" t="s">
        <v>372</v>
      </c>
      <c r="F198" s="19" t="s">
        <v>365</v>
      </c>
      <c r="G198" s="19" t="s">
        <v>365</v>
      </c>
      <c r="H198" s="19" t="s">
        <v>588</v>
      </c>
      <c r="I198" s="21"/>
      <c r="J198" s="45">
        <v>15000000</v>
      </c>
      <c r="K198" s="45">
        <f t="shared" si="6"/>
        <v>-15000000</v>
      </c>
      <c r="L198" s="45">
        <f>IF(I198=0,0,I198/LOOKUP(C198,Settings!$F$5:$F$20,Settings!$G$5:$G$20))</f>
        <v>0</v>
      </c>
      <c r="M198" s="45">
        <f>IF(J198=0,0,J198/LOOKUP(C198,Settings!$F$5:$F$20,Settings!$G$5:$G$20))</f>
        <v>1214.5748987854251</v>
      </c>
      <c r="N198" s="45">
        <f t="shared" si="7"/>
        <v>-1214.5748987854251</v>
      </c>
      <c r="O198" s="21"/>
    </row>
    <row r="199" spans="1:15" x14ac:dyDescent="0.2">
      <c r="A199" s="13">
        <v>197</v>
      </c>
      <c r="B199" s="13" t="s">
        <v>589</v>
      </c>
      <c r="C199" s="14">
        <v>45641</v>
      </c>
      <c r="D199" s="15"/>
      <c r="E199" s="13" t="s">
        <v>374</v>
      </c>
      <c r="F199" s="13" t="s">
        <v>365</v>
      </c>
      <c r="G199" s="13" t="s">
        <v>365</v>
      </c>
      <c r="H199" s="13" t="s">
        <v>589</v>
      </c>
      <c r="I199" s="15"/>
      <c r="J199" s="44">
        <v>8813546</v>
      </c>
      <c r="K199" s="44">
        <f t="shared" si="6"/>
        <v>-8813546</v>
      </c>
      <c r="L199" s="44">
        <f>IF(I199=0,0,I199/LOOKUP(C199,Settings!$F$5:$F$20,Settings!$G$5:$G$20))</f>
        <v>0</v>
      </c>
      <c r="M199" s="44">
        <f>IF(J199=0,0,J199/LOOKUP(C199,Settings!$F$5:$F$20,Settings!$G$5:$G$20))</f>
        <v>713.64744939271259</v>
      </c>
      <c r="N199" s="44">
        <f t="shared" si="7"/>
        <v>-713.64744939271259</v>
      </c>
      <c r="O199" s="15"/>
    </row>
    <row r="200" spans="1:15" x14ac:dyDescent="0.2">
      <c r="A200" s="19">
        <v>198</v>
      </c>
      <c r="B200" s="19" t="s">
        <v>590</v>
      </c>
      <c r="C200" s="20">
        <v>45641</v>
      </c>
      <c r="D200" s="21"/>
      <c r="E200" s="19" t="s">
        <v>376</v>
      </c>
      <c r="F200" s="19" t="s">
        <v>365</v>
      </c>
      <c r="G200" s="19" t="s">
        <v>365</v>
      </c>
      <c r="H200" s="19" t="s">
        <v>590</v>
      </c>
      <c r="I200" s="21"/>
      <c r="J200" s="45">
        <v>4948241</v>
      </c>
      <c r="K200" s="45">
        <f t="shared" si="6"/>
        <v>-4948241</v>
      </c>
      <c r="L200" s="45">
        <f>IF(I200=0,0,I200/LOOKUP(C200,Settings!$F$5:$F$20,Settings!$G$5:$G$20))</f>
        <v>0</v>
      </c>
      <c r="M200" s="45">
        <f>IF(J200=0,0,J200/LOOKUP(C200,Settings!$F$5:$F$20,Settings!$G$5:$G$20))</f>
        <v>400.66728744939269</v>
      </c>
      <c r="N200" s="45">
        <f t="shared" si="7"/>
        <v>-400.66728744939269</v>
      </c>
      <c r="O200" s="21"/>
    </row>
    <row r="201" spans="1:15" x14ac:dyDescent="0.2">
      <c r="A201" s="13">
        <v>199</v>
      </c>
      <c r="B201" s="13" t="s">
        <v>591</v>
      </c>
      <c r="C201" s="14">
        <v>45646</v>
      </c>
      <c r="D201" s="13" t="s">
        <v>592</v>
      </c>
      <c r="E201" s="15"/>
      <c r="F201" s="13" t="s">
        <v>224</v>
      </c>
      <c r="G201" s="13" t="s">
        <v>222</v>
      </c>
      <c r="H201" s="13" t="s">
        <v>155</v>
      </c>
      <c r="I201" s="15"/>
      <c r="J201" s="44">
        <v>193512968</v>
      </c>
      <c r="K201" s="44">
        <f t="shared" si="6"/>
        <v>-193512968</v>
      </c>
      <c r="L201" s="44">
        <f>IF(I201=0,0,I201/LOOKUP(C201,Settings!$F$5:$F$20,Settings!$G$5:$G$20))</f>
        <v>0</v>
      </c>
      <c r="M201" s="44">
        <f>IF(J201=0,0,J201/LOOKUP(C201,Settings!$F$5:$F$20,Settings!$G$5:$G$20))</f>
        <v>15669.066234817814</v>
      </c>
      <c r="N201" s="44">
        <f t="shared" si="7"/>
        <v>-15669.066234817814</v>
      </c>
      <c r="O201" s="13" t="s">
        <v>379</v>
      </c>
    </row>
    <row r="202" spans="1:15" x14ac:dyDescent="0.2">
      <c r="A202" s="19">
        <v>200</v>
      </c>
      <c r="B202" s="19" t="s">
        <v>593</v>
      </c>
      <c r="C202" s="20">
        <v>45646</v>
      </c>
      <c r="D202" s="21"/>
      <c r="E202" s="19" t="s">
        <v>381</v>
      </c>
      <c r="F202" s="19" t="s">
        <v>382</v>
      </c>
      <c r="G202" s="19" t="s">
        <v>382</v>
      </c>
      <c r="H202" s="19" t="s">
        <v>593</v>
      </c>
      <c r="I202" s="21"/>
      <c r="J202" s="45">
        <v>93384546</v>
      </c>
      <c r="K202" s="45">
        <f t="shared" si="6"/>
        <v>-93384546</v>
      </c>
      <c r="L202" s="45">
        <f>IF(I202=0,0,I202/LOOKUP(C202,Settings!$F$5:$F$20,Settings!$G$5:$G$20))</f>
        <v>0</v>
      </c>
      <c r="M202" s="45">
        <f>IF(J202=0,0,J202/LOOKUP(C202,Settings!$F$5:$F$20,Settings!$G$5:$G$20))</f>
        <v>7561.5017004048586</v>
      </c>
      <c r="N202" s="45">
        <f t="shared" si="7"/>
        <v>-7561.5017004048586</v>
      </c>
      <c r="O202" s="21"/>
    </row>
    <row r="203" spans="1:15" x14ac:dyDescent="0.2">
      <c r="A203" s="13">
        <v>201</v>
      </c>
      <c r="B203" s="13" t="s">
        <v>594</v>
      </c>
      <c r="C203" s="14">
        <v>45654</v>
      </c>
      <c r="D203" s="15"/>
      <c r="E203" s="13" t="s">
        <v>384</v>
      </c>
      <c r="F203" s="13" t="s">
        <v>382</v>
      </c>
      <c r="G203" s="13" t="s">
        <v>382</v>
      </c>
      <c r="H203" s="13" t="s">
        <v>594</v>
      </c>
      <c r="I203" s="15"/>
      <c r="J203" s="44">
        <v>357000000</v>
      </c>
      <c r="K203" s="44">
        <f t="shared" si="6"/>
        <v>-357000000</v>
      </c>
      <c r="L203" s="44">
        <f>IF(I203=0,0,I203/LOOKUP(C203,Settings!$F$5:$F$20,Settings!$G$5:$G$20))</f>
        <v>0</v>
      </c>
      <c r="M203" s="44">
        <f>IF(J203=0,0,J203/LOOKUP(C203,Settings!$F$5:$F$20,Settings!$G$5:$G$20))</f>
        <v>28906.882591093119</v>
      </c>
      <c r="N203" s="44">
        <f t="shared" si="7"/>
        <v>-28906.882591093119</v>
      </c>
      <c r="O203" s="13" t="s">
        <v>385</v>
      </c>
    </row>
    <row r="204" spans="1:15" x14ac:dyDescent="0.2">
      <c r="A204" s="19">
        <v>202</v>
      </c>
      <c r="B204" s="19" t="s">
        <v>595</v>
      </c>
      <c r="C204" s="20">
        <v>45654</v>
      </c>
      <c r="D204" s="21"/>
      <c r="E204" s="19" t="s">
        <v>387</v>
      </c>
      <c r="F204" s="19" t="s">
        <v>382</v>
      </c>
      <c r="G204" s="19" t="s">
        <v>222</v>
      </c>
      <c r="H204" s="19" t="s">
        <v>595</v>
      </c>
      <c r="I204" s="21"/>
      <c r="J204" s="45">
        <v>54094964</v>
      </c>
      <c r="K204" s="45">
        <f t="shared" si="6"/>
        <v>-54094964</v>
      </c>
      <c r="L204" s="45">
        <f>IF(I204=0,0,I204/LOOKUP(C204,Settings!$F$5:$F$20,Settings!$G$5:$G$20))</f>
        <v>0</v>
      </c>
      <c r="M204" s="45">
        <f>IF(J204=0,0,J204/LOOKUP(C204,Settings!$F$5:$F$20,Settings!$G$5:$G$20))</f>
        <v>4380.159028340081</v>
      </c>
      <c r="N204" s="45">
        <f t="shared" si="7"/>
        <v>-4380.159028340081</v>
      </c>
      <c r="O204" s="21"/>
    </row>
    <row r="205" spans="1:15" x14ac:dyDescent="0.2">
      <c r="A205" s="13">
        <v>203</v>
      </c>
      <c r="B205" s="13" t="s">
        <v>596</v>
      </c>
      <c r="C205" s="14">
        <v>45662</v>
      </c>
      <c r="D205" s="15"/>
      <c r="E205" s="13" t="s">
        <v>363</v>
      </c>
      <c r="F205" s="13" t="s">
        <v>364</v>
      </c>
      <c r="G205" s="13" t="s">
        <v>365</v>
      </c>
      <c r="H205" s="13" t="s">
        <v>596</v>
      </c>
      <c r="I205" s="15"/>
      <c r="J205" s="44">
        <v>32000000</v>
      </c>
      <c r="K205" s="44">
        <f t="shared" si="6"/>
        <v>-32000000</v>
      </c>
      <c r="L205" s="44">
        <f>IF(I205=0,0,I205/LOOKUP(C205,Settings!$F$5:$F$20,Settings!$G$5:$G$20))</f>
        <v>0</v>
      </c>
      <c r="M205" s="44">
        <f>IF(J205=0,0,J205/LOOKUP(C205,Settings!$F$5:$F$20,Settings!$G$5:$G$20))</f>
        <v>2560</v>
      </c>
      <c r="N205" s="44">
        <f t="shared" si="7"/>
        <v>-2560</v>
      </c>
      <c r="O205" s="13" t="s">
        <v>366</v>
      </c>
    </row>
    <row r="206" spans="1:15" x14ac:dyDescent="0.2">
      <c r="A206" s="19">
        <v>204</v>
      </c>
      <c r="B206" s="19" t="s">
        <v>597</v>
      </c>
      <c r="C206" s="20">
        <v>45667</v>
      </c>
      <c r="D206" s="21"/>
      <c r="E206" s="19" t="s">
        <v>372</v>
      </c>
      <c r="F206" s="19" t="s">
        <v>365</v>
      </c>
      <c r="G206" s="19" t="s">
        <v>365</v>
      </c>
      <c r="H206" s="19" t="s">
        <v>597</v>
      </c>
      <c r="I206" s="21"/>
      <c r="J206" s="45">
        <v>15000000</v>
      </c>
      <c r="K206" s="45">
        <f t="shared" si="6"/>
        <v>-15000000</v>
      </c>
      <c r="L206" s="45">
        <f>IF(I206=0,0,I206/LOOKUP(C206,Settings!$F$5:$F$20,Settings!$G$5:$G$20))</f>
        <v>0</v>
      </c>
      <c r="M206" s="45">
        <f>IF(J206=0,0,J206/LOOKUP(C206,Settings!$F$5:$F$20,Settings!$G$5:$G$20))</f>
        <v>1200</v>
      </c>
      <c r="N206" s="45">
        <f t="shared" si="7"/>
        <v>-1200</v>
      </c>
      <c r="O206" s="21"/>
    </row>
    <row r="207" spans="1:15" x14ac:dyDescent="0.2">
      <c r="A207" s="13">
        <v>205</v>
      </c>
      <c r="B207" s="13" t="s">
        <v>598</v>
      </c>
      <c r="C207" s="14">
        <v>45672</v>
      </c>
      <c r="D207" s="15"/>
      <c r="E207" s="13" t="s">
        <v>374</v>
      </c>
      <c r="F207" s="13" t="s">
        <v>365</v>
      </c>
      <c r="G207" s="13" t="s">
        <v>365</v>
      </c>
      <c r="H207" s="13" t="s">
        <v>598</v>
      </c>
      <c r="I207" s="15"/>
      <c r="J207" s="44">
        <v>6803907</v>
      </c>
      <c r="K207" s="44">
        <f t="shared" si="6"/>
        <v>-6803907</v>
      </c>
      <c r="L207" s="44">
        <f>IF(I207=0,0,I207/LOOKUP(C207,Settings!$F$5:$F$20,Settings!$G$5:$G$20))</f>
        <v>0</v>
      </c>
      <c r="M207" s="44">
        <f>IF(J207=0,0,J207/LOOKUP(C207,Settings!$F$5:$F$20,Settings!$G$5:$G$20))</f>
        <v>544.31255999999996</v>
      </c>
      <c r="N207" s="44">
        <f t="shared" si="7"/>
        <v>-544.31255999999996</v>
      </c>
      <c r="O207" s="15"/>
    </row>
    <row r="208" spans="1:15" x14ac:dyDescent="0.2">
      <c r="A208" s="19">
        <v>206</v>
      </c>
      <c r="B208" s="19" t="s">
        <v>599</v>
      </c>
      <c r="C208" s="20">
        <v>45672</v>
      </c>
      <c r="D208" s="21"/>
      <c r="E208" s="19" t="s">
        <v>376</v>
      </c>
      <c r="F208" s="19" t="s">
        <v>365</v>
      </c>
      <c r="G208" s="19" t="s">
        <v>365</v>
      </c>
      <c r="H208" s="19" t="s">
        <v>599</v>
      </c>
      <c r="I208" s="21"/>
      <c r="J208" s="45">
        <v>5950916</v>
      </c>
      <c r="K208" s="45">
        <f t="shared" si="6"/>
        <v>-5950916</v>
      </c>
      <c r="L208" s="45">
        <f>IF(I208=0,0,I208/LOOKUP(C208,Settings!$F$5:$F$20,Settings!$G$5:$G$20))</f>
        <v>0</v>
      </c>
      <c r="M208" s="45">
        <f>IF(J208=0,0,J208/LOOKUP(C208,Settings!$F$5:$F$20,Settings!$G$5:$G$20))</f>
        <v>476.07328000000001</v>
      </c>
      <c r="N208" s="45">
        <f t="shared" si="7"/>
        <v>-476.07328000000001</v>
      </c>
      <c r="O208" s="21"/>
    </row>
    <row r="209" spans="1:15" x14ac:dyDescent="0.2">
      <c r="A209" s="13">
        <v>207</v>
      </c>
      <c r="B209" s="13" t="s">
        <v>600</v>
      </c>
      <c r="C209" s="14">
        <v>45677</v>
      </c>
      <c r="D209" s="15"/>
      <c r="E209" s="13" t="s">
        <v>381</v>
      </c>
      <c r="F209" s="13" t="s">
        <v>382</v>
      </c>
      <c r="G209" s="13" t="s">
        <v>382</v>
      </c>
      <c r="H209" s="13" t="s">
        <v>600</v>
      </c>
      <c r="I209" s="15"/>
      <c r="J209" s="44">
        <v>88583846</v>
      </c>
      <c r="K209" s="44">
        <f t="shared" si="6"/>
        <v>-88583846</v>
      </c>
      <c r="L209" s="44">
        <f>IF(I209=0,0,I209/LOOKUP(C209,Settings!$F$5:$F$20,Settings!$G$5:$G$20))</f>
        <v>0</v>
      </c>
      <c r="M209" s="44">
        <f>IF(J209=0,0,J209/LOOKUP(C209,Settings!$F$5:$F$20,Settings!$G$5:$G$20))</f>
        <v>7086.7076800000004</v>
      </c>
      <c r="N209" s="44">
        <f t="shared" si="7"/>
        <v>-7086.7076800000004</v>
      </c>
      <c r="O209" s="15"/>
    </row>
    <row r="210" spans="1:15" x14ac:dyDescent="0.2">
      <c r="A210" s="19">
        <v>208</v>
      </c>
      <c r="B210" s="19" t="s">
        <v>601</v>
      </c>
      <c r="C210" s="20">
        <v>45685</v>
      </c>
      <c r="D210" s="21"/>
      <c r="E210" s="19" t="s">
        <v>384</v>
      </c>
      <c r="F210" s="19" t="s">
        <v>382</v>
      </c>
      <c r="G210" s="19" t="s">
        <v>382</v>
      </c>
      <c r="H210" s="19" t="s">
        <v>601</v>
      </c>
      <c r="I210" s="21"/>
      <c r="J210" s="45">
        <v>357000000</v>
      </c>
      <c r="K210" s="45">
        <f t="shared" si="6"/>
        <v>-357000000</v>
      </c>
      <c r="L210" s="45">
        <f>IF(I210=0,0,I210/LOOKUP(C210,Settings!$F$5:$F$20,Settings!$G$5:$G$20))</f>
        <v>0</v>
      </c>
      <c r="M210" s="45">
        <f>IF(J210=0,0,J210/LOOKUP(C210,Settings!$F$5:$F$20,Settings!$G$5:$G$20))</f>
        <v>28560</v>
      </c>
      <c r="N210" s="45">
        <f t="shared" si="7"/>
        <v>-28560</v>
      </c>
      <c r="O210" s="19" t="s">
        <v>385</v>
      </c>
    </row>
    <row r="211" spans="1:15" x14ac:dyDescent="0.2">
      <c r="A211" s="13">
        <v>209</v>
      </c>
      <c r="B211" s="13" t="s">
        <v>602</v>
      </c>
      <c r="C211" s="14">
        <v>45698</v>
      </c>
      <c r="D211" s="15"/>
      <c r="E211" s="13" t="s">
        <v>372</v>
      </c>
      <c r="F211" s="13" t="s">
        <v>365</v>
      </c>
      <c r="G211" s="13" t="s">
        <v>365</v>
      </c>
      <c r="H211" s="13" t="s">
        <v>602</v>
      </c>
      <c r="I211" s="15"/>
      <c r="J211" s="44">
        <v>15000000</v>
      </c>
      <c r="K211" s="44">
        <f t="shared" si="6"/>
        <v>-15000000</v>
      </c>
      <c r="L211" s="44">
        <f>IF(I211=0,0,I211/LOOKUP(C211,Settings!$F$5:$F$20,Settings!$G$5:$G$20))</f>
        <v>0</v>
      </c>
      <c r="M211" s="44">
        <f>IF(J211=0,0,J211/LOOKUP(C211,Settings!$F$5:$F$20,Settings!$G$5:$G$20))</f>
        <v>1200</v>
      </c>
      <c r="N211" s="44">
        <f t="shared" si="7"/>
        <v>-1200</v>
      </c>
      <c r="O211" s="15"/>
    </row>
    <row r="212" spans="1:15" x14ac:dyDescent="0.2">
      <c r="A212" s="19">
        <v>210</v>
      </c>
      <c r="B212" s="19" t="s">
        <v>603</v>
      </c>
      <c r="C212" s="20">
        <v>45698</v>
      </c>
      <c r="D212" s="21"/>
      <c r="E212" s="19" t="s">
        <v>368</v>
      </c>
      <c r="F212" s="19" t="s">
        <v>369</v>
      </c>
      <c r="G212" s="19" t="s">
        <v>370</v>
      </c>
      <c r="H212" s="19" t="s">
        <v>603</v>
      </c>
      <c r="I212" s="21"/>
      <c r="J212" s="45">
        <v>3972888</v>
      </c>
      <c r="K212" s="45">
        <f t="shared" si="6"/>
        <v>-3972888</v>
      </c>
      <c r="L212" s="45">
        <f>IF(I212=0,0,I212/LOOKUP(C212,Settings!$F$5:$F$20,Settings!$G$5:$G$20))</f>
        <v>0</v>
      </c>
      <c r="M212" s="45">
        <f>IF(J212=0,0,J212/LOOKUP(C212,Settings!$F$5:$F$20,Settings!$G$5:$G$20))</f>
        <v>317.83103999999997</v>
      </c>
      <c r="N212" s="45">
        <f t="shared" si="7"/>
        <v>-317.83103999999997</v>
      </c>
      <c r="O212" s="21"/>
    </row>
    <row r="213" spans="1:15" x14ac:dyDescent="0.2">
      <c r="A213" s="13">
        <v>211</v>
      </c>
      <c r="B213" s="13" t="s">
        <v>604</v>
      </c>
      <c r="C213" s="14">
        <v>45703</v>
      </c>
      <c r="D213" s="15"/>
      <c r="E213" s="13" t="s">
        <v>374</v>
      </c>
      <c r="F213" s="13" t="s">
        <v>365</v>
      </c>
      <c r="G213" s="13" t="s">
        <v>365</v>
      </c>
      <c r="H213" s="13" t="s">
        <v>604</v>
      </c>
      <c r="I213" s="15"/>
      <c r="J213" s="44">
        <v>8343191</v>
      </c>
      <c r="K213" s="44">
        <f t="shared" si="6"/>
        <v>-8343191</v>
      </c>
      <c r="L213" s="44">
        <f>IF(I213=0,0,I213/LOOKUP(C213,Settings!$F$5:$F$20,Settings!$G$5:$G$20))</f>
        <v>0</v>
      </c>
      <c r="M213" s="44">
        <f>IF(J213=0,0,J213/LOOKUP(C213,Settings!$F$5:$F$20,Settings!$G$5:$G$20))</f>
        <v>667.45528000000002</v>
      </c>
      <c r="N213" s="44">
        <f t="shared" si="7"/>
        <v>-667.45528000000002</v>
      </c>
      <c r="O213" s="15"/>
    </row>
    <row r="214" spans="1:15" x14ac:dyDescent="0.2">
      <c r="A214" s="19">
        <v>212</v>
      </c>
      <c r="B214" s="19" t="s">
        <v>605</v>
      </c>
      <c r="C214" s="20">
        <v>45703</v>
      </c>
      <c r="D214" s="21"/>
      <c r="E214" s="19" t="s">
        <v>376</v>
      </c>
      <c r="F214" s="19" t="s">
        <v>365</v>
      </c>
      <c r="G214" s="19" t="s">
        <v>365</v>
      </c>
      <c r="H214" s="19" t="s">
        <v>605</v>
      </c>
      <c r="I214" s="21"/>
      <c r="J214" s="45">
        <v>4714965</v>
      </c>
      <c r="K214" s="45">
        <f t="shared" si="6"/>
        <v>-4714965</v>
      </c>
      <c r="L214" s="45">
        <f>IF(I214=0,0,I214/LOOKUP(C214,Settings!$F$5:$F$20,Settings!$G$5:$G$20))</f>
        <v>0</v>
      </c>
      <c r="M214" s="45">
        <f>IF(J214=0,0,J214/LOOKUP(C214,Settings!$F$5:$F$20,Settings!$G$5:$G$20))</f>
        <v>377.19720000000001</v>
      </c>
      <c r="N214" s="45">
        <f t="shared" si="7"/>
        <v>-377.19720000000001</v>
      </c>
      <c r="O214" s="21"/>
    </row>
    <row r="215" spans="1:15" x14ac:dyDescent="0.2">
      <c r="A215" s="13">
        <v>213</v>
      </c>
      <c r="B215" s="13" t="s">
        <v>606</v>
      </c>
      <c r="C215" s="14">
        <v>45708</v>
      </c>
      <c r="D215" s="13" t="s">
        <v>607</v>
      </c>
      <c r="E215" s="15"/>
      <c r="F215" s="13" t="s">
        <v>224</v>
      </c>
      <c r="G215" s="13" t="s">
        <v>222</v>
      </c>
      <c r="H215" s="13" t="s">
        <v>162</v>
      </c>
      <c r="I215" s="15"/>
      <c r="J215" s="44">
        <v>241941146</v>
      </c>
      <c r="K215" s="44">
        <f t="shared" si="6"/>
        <v>-241941146</v>
      </c>
      <c r="L215" s="44">
        <f>IF(I215=0,0,I215/LOOKUP(C215,Settings!$F$5:$F$20,Settings!$G$5:$G$20))</f>
        <v>0</v>
      </c>
      <c r="M215" s="44">
        <f>IF(J215=0,0,J215/LOOKUP(C215,Settings!$F$5:$F$20,Settings!$G$5:$G$20))</f>
        <v>19355.291679999998</v>
      </c>
      <c r="N215" s="44">
        <f t="shared" si="7"/>
        <v>-19355.291679999998</v>
      </c>
      <c r="O215" s="13" t="s">
        <v>379</v>
      </c>
    </row>
    <row r="216" spans="1:15" x14ac:dyDescent="0.2">
      <c r="A216" s="19">
        <v>214</v>
      </c>
      <c r="B216" s="19" t="s">
        <v>608</v>
      </c>
      <c r="C216" s="20">
        <v>45708</v>
      </c>
      <c r="D216" s="21"/>
      <c r="E216" s="19" t="s">
        <v>381</v>
      </c>
      <c r="F216" s="19" t="s">
        <v>382</v>
      </c>
      <c r="G216" s="19" t="s">
        <v>382</v>
      </c>
      <c r="H216" s="19" t="s">
        <v>608</v>
      </c>
      <c r="I216" s="21"/>
      <c r="J216" s="45">
        <v>89928453</v>
      </c>
      <c r="K216" s="45">
        <f t="shared" si="6"/>
        <v>-89928453</v>
      </c>
      <c r="L216" s="45">
        <f>IF(I216=0,0,I216/LOOKUP(C216,Settings!$F$5:$F$20,Settings!$G$5:$G$20))</f>
        <v>0</v>
      </c>
      <c r="M216" s="45">
        <f>IF(J216=0,0,J216/LOOKUP(C216,Settings!$F$5:$F$20,Settings!$G$5:$G$20))</f>
        <v>7194.2762400000001</v>
      </c>
      <c r="N216" s="45">
        <f t="shared" si="7"/>
        <v>-7194.2762400000001</v>
      </c>
      <c r="O216" s="21"/>
    </row>
    <row r="217" spans="1:15" x14ac:dyDescent="0.2">
      <c r="A217" s="13">
        <v>215</v>
      </c>
      <c r="B217" s="13" t="s">
        <v>609</v>
      </c>
      <c r="C217" s="14">
        <v>45714</v>
      </c>
      <c r="D217" s="15"/>
      <c r="E217" s="13" t="s">
        <v>384</v>
      </c>
      <c r="F217" s="13" t="s">
        <v>382</v>
      </c>
      <c r="G217" s="13" t="s">
        <v>382</v>
      </c>
      <c r="H217" s="13" t="s">
        <v>609</v>
      </c>
      <c r="I217" s="15"/>
      <c r="J217" s="44">
        <v>357000000</v>
      </c>
      <c r="K217" s="44">
        <f t="shared" si="6"/>
        <v>-357000000</v>
      </c>
      <c r="L217" s="44">
        <f>IF(I217=0,0,I217/LOOKUP(C217,Settings!$F$5:$F$20,Settings!$G$5:$G$20))</f>
        <v>0</v>
      </c>
      <c r="M217" s="44">
        <f>IF(J217=0,0,J217/LOOKUP(C217,Settings!$F$5:$F$20,Settings!$G$5:$G$20))</f>
        <v>28560</v>
      </c>
      <c r="N217" s="44">
        <f t="shared" si="7"/>
        <v>-28560</v>
      </c>
      <c r="O217" s="13" t="s">
        <v>385</v>
      </c>
    </row>
    <row r="218" spans="1:15" x14ac:dyDescent="0.2">
      <c r="A218" s="19">
        <v>216</v>
      </c>
      <c r="B218" s="19" t="s">
        <v>610</v>
      </c>
      <c r="C218" s="20">
        <v>45714</v>
      </c>
      <c r="D218" s="21"/>
      <c r="E218" s="19" t="s">
        <v>387</v>
      </c>
      <c r="F218" s="19" t="s">
        <v>382</v>
      </c>
      <c r="G218" s="19" t="s">
        <v>222</v>
      </c>
      <c r="H218" s="19" t="s">
        <v>610</v>
      </c>
      <c r="I218" s="21"/>
      <c r="J218" s="45">
        <v>38245094</v>
      </c>
      <c r="K218" s="45">
        <f t="shared" si="6"/>
        <v>-38245094</v>
      </c>
      <c r="L218" s="45">
        <f>IF(I218=0,0,I218/LOOKUP(C218,Settings!$F$5:$F$20,Settings!$G$5:$G$20))</f>
        <v>0</v>
      </c>
      <c r="M218" s="45">
        <f>IF(J218=0,0,J218/LOOKUP(C218,Settings!$F$5:$F$20,Settings!$G$5:$G$20))</f>
        <v>3059.60752</v>
      </c>
      <c r="N218" s="45">
        <f t="shared" si="7"/>
        <v>-3059.60752</v>
      </c>
      <c r="O218" s="21"/>
    </row>
    <row r="219" spans="1:15" x14ac:dyDescent="0.2">
      <c r="A219" s="13">
        <v>217</v>
      </c>
      <c r="B219" s="13" t="s">
        <v>611</v>
      </c>
      <c r="C219" s="14">
        <v>45726</v>
      </c>
      <c r="D219" s="15"/>
      <c r="E219" s="13" t="s">
        <v>372</v>
      </c>
      <c r="F219" s="13" t="s">
        <v>365</v>
      </c>
      <c r="G219" s="13" t="s">
        <v>365</v>
      </c>
      <c r="H219" s="13" t="s">
        <v>611</v>
      </c>
      <c r="I219" s="15"/>
      <c r="J219" s="44">
        <v>15000000</v>
      </c>
      <c r="K219" s="44">
        <f t="shared" si="6"/>
        <v>-15000000</v>
      </c>
      <c r="L219" s="44">
        <f>IF(I219=0,0,I219/LOOKUP(C219,Settings!$F$5:$F$20,Settings!$G$5:$G$20))</f>
        <v>0</v>
      </c>
      <c r="M219" s="44">
        <f>IF(J219=0,0,J219/LOOKUP(C219,Settings!$F$5:$F$20,Settings!$G$5:$G$20))</f>
        <v>1200</v>
      </c>
      <c r="N219" s="44">
        <f t="shared" si="7"/>
        <v>-1200</v>
      </c>
      <c r="O219" s="15"/>
    </row>
    <row r="220" spans="1:15" x14ac:dyDescent="0.2">
      <c r="A220" s="19">
        <v>218</v>
      </c>
      <c r="B220" s="19" t="s">
        <v>612</v>
      </c>
      <c r="C220" s="20">
        <v>45731</v>
      </c>
      <c r="D220" s="21"/>
      <c r="E220" s="19" t="s">
        <v>374</v>
      </c>
      <c r="F220" s="19" t="s">
        <v>365</v>
      </c>
      <c r="G220" s="19" t="s">
        <v>365</v>
      </c>
      <c r="H220" s="19" t="s">
        <v>612</v>
      </c>
      <c r="I220" s="21"/>
      <c r="J220" s="45">
        <v>7398263</v>
      </c>
      <c r="K220" s="45">
        <f t="shared" si="6"/>
        <v>-7398263</v>
      </c>
      <c r="L220" s="45">
        <f>IF(I220=0,0,I220/LOOKUP(C220,Settings!$F$5:$F$20,Settings!$G$5:$G$20))</f>
        <v>0</v>
      </c>
      <c r="M220" s="45">
        <f>IF(J220=0,0,J220/LOOKUP(C220,Settings!$F$5:$F$20,Settings!$G$5:$G$20))</f>
        <v>591.86104</v>
      </c>
      <c r="N220" s="45">
        <f t="shared" si="7"/>
        <v>-591.86104</v>
      </c>
      <c r="O220" s="21"/>
    </row>
    <row r="221" spans="1:15" x14ac:dyDescent="0.2">
      <c r="A221" s="13">
        <v>219</v>
      </c>
      <c r="B221" s="13" t="s">
        <v>613</v>
      </c>
      <c r="C221" s="14">
        <v>45731</v>
      </c>
      <c r="D221" s="15"/>
      <c r="E221" s="13" t="s">
        <v>376</v>
      </c>
      <c r="F221" s="13" t="s">
        <v>365</v>
      </c>
      <c r="G221" s="13" t="s">
        <v>365</v>
      </c>
      <c r="H221" s="13" t="s">
        <v>613</v>
      </c>
      <c r="I221" s="15"/>
      <c r="J221" s="44">
        <v>7034975</v>
      </c>
      <c r="K221" s="44">
        <f t="shared" si="6"/>
        <v>-7034975</v>
      </c>
      <c r="L221" s="44">
        <f>IF(I221=0,0,I221/LOOKUP(C221,Settings!$F$5:$F$20,Settings!$G$5:$G$20))</f>
        <v>0</v>
      </c>
      <c r="M221" s="44">
        <f>IF(J221=0,0,J221/LOOKUP(C221,Settings!$F$5:$F$20,Settings!$G$5:$G$20))</f>
        <v>562.798</v>
      </c>
      <c r="N221" s="44">
        <f t="shared" si="7"/>
        <v>-562.798</v>
      </c>
      <c r="O221" s="15"/>
    </row>
    <row r="222" spans="1:15" x14ac:dyDescent="0.2">
      <c r="A222" s="19">
        <v>220</v>
      </c>
      <c r="B222" s="19" t="s">
        <v>614</v>
      </c>
      <c r="C222" s="20">
        <v>45736</v>
      </c>
      <c r="D222" s="21"/>
      <c r="E222" s="19" t="s">
        <v>381</v>
      </c>
      <c r="F222" s="19" t="s">
        <v>382</v>
      </c>
      <c r="G222" s="19" t="s">
        <v>382</v>
      </c>
      <c r="H222" s="19" t="s">
        <v>614</v>
      </c>
      <c r="I222" s="21"/>
      <c r="J222" s="45">
        <v>88719023</v>
      </c>
      <c r="K222" s="45">
        <f t="shared" si="6"/>
        <v>-88719023</v>
      </c>
      <c r="L222" s="45">
        <f>IF(I222=0,0,I222/LOOKUP(C222,Settings!$F$5:$F$20,Settings!$G$5:$G$20))</f>
        <v>0</v>
      </c>
      <c r="M222" s="45">
        <f>IF(J222=0,0,J222/LOOKUP(C222,Settings!$F$5:$F$20,Settings!$G$5:$G$20))</f>
        <v>7097.5218400000003</v>
      </c>
      <c r="N222" s="45">
        <f t="shared" si="7"/>
        <v>-7097.5218400000003</v>
      </c>
      <c r="O222" s="21"/>
    </row>
    <row r="223" spans="1:15" x14ac:dyDescent="0.2">
      <c r="A223" s="13">
        <v>221</v>
      </c>
      <c r="B223" s="13" t="s">
        <v>615</v>
      </c>
      <c r="C223" s="14">
        <v>45744</v>
      </c>
      <c r="D223" s="15"/>
      <c r="E223" s="13" t="s">
        <v>384</v>
      </c>
      <c r="F223" s="13" t="s">
        <v>382</v>
      </c>
      <c r="G223" s="13" t="s">
        <v>382</v>
      </c>
      <c r="H223" s="13" t="s">
        <v>615</v>
      </c>
      <c r="I223" s="15"/>
      <c r="J223" s="44">
        <v>357000000</v>
      </c>
      <c r="K223" s="44">
        <f t="shared" si="6"/>
        <v>-357000000</v>
      </c>
      <c r="L223" s="44">
        <f>IF(I223=0,0,I223/LOOKUP(C223,Settings!$F$5:$F$20,Settings!$G$5:$G$20))</f>
        <v>0</v>
      </c>
      <c r="M223" s="44">
        <f>IF(J223=0,0,J223/LOOKUP(C223,Settings!$F$5:$F$20,Settings!$G$5:$G$20))</f>
        <v>28560</v>
      </c>
      <c r="N223" s="44">
        <f t="shared" si="7"/>
        <v>-28560</v>
      </c>
      <c r="O223" s="13" t="s">
        <v>385</v>
      </c>
    </row>
    <row r="224" spans="1:15" x14ac:dyDescent="0.2">
      <c r="A224" s="19">
        <v>222</v>
      </c>
      <c r="B224" s="19" t="s">
        <v>616</v>
      </c>
      <c r="C224" s="20">
        <v>45757</v>
      </c>
      <c r="D224" s="21"/>
      <c r="E224" s="19" t="s">
        <v>372</v>
      </c>
      <c r="F224" s="19" t="s">
        <v>365</v>
      </c>
      <c r="G224" s="19" t="s">
        <v>365</v>
      </c>
      <c r="H224" s="19" t="s">
        <v>616</v>
      </c>
      <c r="I224" s="21"/>
      <c r="J224" s="45">
        <v>15000000</v>
      </c>
      <c r="K224" s="45">
        <f t="shared" si="6"/>
        <v>-15000000</v>
      </c>
      <c r="L224" s="45">
        <f>IF(I224=0,0,I224/LOOKUP(C224,Settings!$F$5:$F$20,Settings!$G$5:$G$20))</f>
        <v>0</v>
      </c>
      <c r="M224" s="45">
        <f>IF(J224=0,0,J224/LOOKUP(C224,Settings!$F$5:$F$20,Settings!$G$5:$G$20))</f>
        <v>1190.4761904761904</v>
      </c>
      <c r="N224" s="45">
        <f t="shared" si="7"/>
        <v>-1190.4761904761904</v>
      </c>
      <c r="O224" s="21"/>
    </row>
    <row r="225" spans="1:15" x14ac:dyDescent="0.2">
      <c r="A225" s="13">
        <v>223</v>
      </c>
      <c r="B225" s="13" t="s">
        <v>617</v>
      </c>
      <c r="C225" s="14">
        <v>45762</v>
      </c>
      <c r="D225" s="15"/>
      <c r="E225" s="13" t="s">
        <v>374</v>
      </c>
      <c r="F225" s="13" t="s">
        <v>365</v>
      </c>
      <c r="G225" s="13" t="s">
        <v>365</v>
      </c>
      <c r="H225" s="13" t="s">
        <v>617</v>
      </c>
      <c r="I225" s="15"/>
      <c r="J225" s="44">
        <v>8609966</v>
      </c>
      <c r="K225" s="44">
        <f t="shared" si="6"/>
        <v>-8609966</v>
      </c>
      <c r="L225" s="44">
        <f>IF(I225=0,0,I225/LOOKUP(C225,Settings!$F$5:$F$20,Settings!$G$5:$G$20))</f>
        <v>0</v>
      </c>
      <c r="M225" s="44">
        <f>IF(J225=0,0,J225/LOOKUP(C225,Settings!$F$5:$F$20,Settings!$G$5:$G$20))</f>
        <v>683.33063492063491</v>
      </c>
      <c r="N225" s="44">
        <f t="shared" si="7"/>
        <v>-683.33063492063491</v>
      </c>
      <c r="O225" s="15"/>
    </row>
    <row r="226" spans="1:15" x14ac:dyDescent="0.2">
      <c r="A226" s="19">
        <v>224</v>
      </c>
      <c r="B226" s="19" t="s">
        <v>618</v>
      </c>
      <c r="C226" s="20">
        <v>45762</v>
      </c>
      <c r="D226" s="21"/>
      <c r="E226" s="19" t="s">
        <v>376</v>
      </c>
      <c r="F226" s="19" t="s">
        <v>365</v>
      </c>
      <c r="G226" s="19" t="s">
        <v>365</v>
      </c>
      <c r="H226" s="19" t="s">
        <v>618</v>
      </c>
      <c r="I226" s="21"/>
      <c r="J226" s="45">
        <v>4680228</v>
      </c>
      <c r="K226" s="45">
        <f t="shared" si="6"/>
        <v>-4680228</v>
      </c>
      <c r="L226" s="45">
        <f>IF(I226=0,0,I226/LOOKUP(C226,Settings!$F$5:$F$20,Settings!$G$5:$G$20))</f>
        <v>0</v>
      </c>
      <c r="M226" s="45">
        <f>IF(J226=0,0,J226/LOOKUP(C226,Settings!$F$5:$F$20,Settings!$G$5:$G$20))</f>
        <v>371.44666666666666</v>
      </c>
      <c r="N226" s="45">
        <f t="shared" si="7"/>
        <v>-371.44666666666666</v>
      </c>
      <c r="O226" s="21"/>
    </row>
    <row r="227" spans="1:15" x14ac:dyDescent="0.2">
      <c r="A227" s="13">
        <v>225</v>
      </c>
      <c r="B227" s="13" t="s">
        <v>619</v>
      </c>
      <c r="C227" s="14">
        <v>45767</v>
      </c>
      <c r="D227" s="15"/>
      <c r="E227" s="13" t="s">
        <v>381</v>
      </c>
      <c r="F227" s="13" t="s">
        <v>382</v>
      </c>
      <c r="G227" s="13" t="s">
        <v>382</v>
      </c>
      <c r="H227" s="13" t="s">
        <v>619</v>
      </c>
      <c r="I227" s="15"/>
      <c r="J227" s="44">
        <v>87860425</v>
      </c>
      <c r="K227" s="44">
        <f t="shared" si="6"/>
        <v>-87860425</v>
      </c>
      <c r="L227" s="44">
        <f>IF(I227=0,0,I227/LOOKUP(C227,Settings!$F$5:$F$20,Settings!$G$5:$G$20))</f>
        <v>0</v>
      </c>
      <c r="M227" s="44">
        <f>IF(J227=0,0,J227/LOOKUP(C227,Settings!$F$5:$F$20,Settings!$G$5:$G$20))</f>
        <v>6973.0496031746034</v>
      </c>
      <c r="N227" s="44">
        <f t="shared" si="7"/>
        <v>-6973.0496031746034</v>
      </c>
      <c r="O227" s="15"/>
    </row>
    <row r="228" spans="1:15" x14ac:dyDescent="0.2">
      <c r="A228" s="19">
        <v>226</v>
      </c>
      <c r="B228" s="19" t="s">
        <v>620</v>
      </c>
      <c r="C228" s="20">
        <v>45769</v>
      </c>
      <c r="D228" s="21"/>
      <c r="E228" s="19" t="s">
        <v>368</v>
      </c>
      <c r="F228" s="19" t="s">
        <v>369</v>
      </c>
      <c r="G228" s="19" t="s">
        <v>370</v>
      </c>
      <c r="H228" s="19" t="s">
        <v>620</v>
      </c>
      <c r="I228" s="21"/>
      <c r="J228" s="45">
        <v>8403704</v>
      </c>
      <c r="K228" s="45">
        <f t="shared" si="6"/>
        <v>-8403704</v>
      </c>
      <c r="L228" s="45">
        <f>IF(I228=0,0,I228/LOOKUP(C228,Settings!$F$5:$F$20,Settings!$G$5:$G$20))</f>
        <v>0</v>
      </c>
      <c r="M228" s="45">
        <f>IF(J228=0,0,J228/LOOKUP(C228,Settings!$F$5:$F$20,Settings!$G$5:$G$20))</f>
        <v>666.9606349206349</v>
      </c>
      <c r="N228" s="45">
        <f t="shared" si="7"/>
        <v>-666.9606349206349</v>
      </c>
      <c r="O228" s="21"/>
    </row>
    <row r="229" spans="1:15" x14ac:dyDescent="0.2">
      <c r="A229" s="13">
        <v>227</v>
      </c>
      <c r="B229" s="13" t="s">
        <v>621</v>
      </c>
      <c r="C229" s="14">
        <v>45775</v>
      </c>
      <c r="D229" s="15"/>
      <c r="E229" s="13" t="s">
        <v>384</v>
      </c>
      <c r="F229" s="13" t="s">
        <v>382</v>
      </c>
      <c r="G229" s="13" t="s">
        <v>382</v>
      </c>
      <c r="H229" s="13" t="s">
        <v>621</v>
      </c>
      <c r="I229" s="15"/>
      <c r="J229" s="44">
        <v>357000000</v>
      </c>
      <c r="K229" s="44">
        <f t="shared" si="6"/>
        <v>-357000000</v>
      </c>
      <c r="L229" s="44">
        <f>IF(I229=0,0,I229/LOOKUP(C229,Settings!$F$5:$F$20,Settings!$G$5:$G$20))</f>
        <v>0</v>
      </c>
      <c r="M229" s="44">
        <f>IF(J229=0,0,J229/LOOKUP(C229,Settings!$F$5:$F$20,Settings!$G$5:$G$20))</f>
        <v>28333.333333333332</v>
      </c>
      <c r="N229" s="44">
        <f t="shared" si="7"/>
        <v>-28333.333333333332</v>
      </c>
      <c r="O229" s="13" t="s">
        <v>385</v>
      </c>
    </row>
    <row r="230" spans="1:15" x14ac:dyDescent="0.2">
      <c r="A230" s="19">
        <v>228</v>
      </c>
      <c r="B230" s="19" t="s">
        <v>622</v>
      </c>
      <c r="C230" s="20">
        <v>45775</v>
      </c>
      <c r="D230" s="21"/>
      <c r="E230" s="19" t="s">
        <v>387</v>
      </c>
      <c r="F230" s="19" t="s">
        <v>382</v>
      </c>
      <c r="G230" s="19" t="s">
        <v>222</v>
      </c>
      <c r="H230" s="19" t="s">
        <v>622</v>
      </c>
      <c r="I230" s="21"/>
      <c r="J230" s="45">
        <v>35238884</v>
      </c>
      <c r="K230" s="45">
        <f t="shared" si="6"/>
        <v>-35238884</v>
      </c>
      <c r="L230" s="45">
        <f>IF(I230=0,0,I230/LOOKUP(C230,Settings!$F$5:$F$20,Settings!$G$5:$G$20))</f>
        <v>0</v>
      </c>
      <c r="M230" s="45">
        <f>IF(J230=0,0,J230/LOOKUP(C230,Settings!$F$5:$F$20,Settings!$G$5:$G$20))</f>
        <v>2796.7368253968252</v>
      </c>
      <c r="N230" s="45">
        <f t="shared" si="7"/>
        <v>-2796.7368253968252</v>
      </c>
      <c r="O230" s="21"/>
    </row>
    <row r="231" spans="1:15" x14ac:dyDescent="0.2">
      <c r="A231" s="13">
        <v>229</v>
      </c>
      <c r="B231" s="13" t="s">
        <v>623</v>
      </c>
      <c r="C231" s="14">
        <v>45787</v>
      </c>
      <c r="D231" s="15"/>
      <c r="E231" s="13" t="s">
        <v>372</v>
      </c>
      <c r="F231" s="13" t="s">
        <v>365</v>
      </c>
      <c r="G231" s="13" t="s">
        <v>365</v>
      </c>
      <c r="H231" s="13" t="s">
        <v>623</v>
      </c>
      <c r="I231" s="15"/>
      <c r="J231" s="44">
        <v>15000000</v>
      </c>
      <c r="K231" s="44">
        <f t="shared" si="6"/>
        <v>-15000000</v>
      </c>
      <c r="L231" s="44">
        <f>IF(I231=0,0,I231/LOOKUP(C231,Settings!$F$5:$F$20,Settings!$G$5:$G$20))</f>
        <v>0</v>
      </c>
      <c r="M231" s="44">
        <f>IF(J231=0,0,J231/LOOKUP(C231,Settings!$F$5:$F$20,Settings!$G$5:$G$20))</f>
        <v>1190.4761904761904</v>
      </c>
      <c r="N231" s="44">
        <f t="shared" si="7"/>
        <v>-1190.4761904761904</v>
      </c>
      <c r="O231" s="15"/>
    </row>
    <row r="232" spans="1:15" x14ac:dyDescent="0.2">
      <c r="A232" s="19">
        <v>230</v>
      </c>
      <c r="B232" s="19" t="s">
        <v>624</v>
      </c>
      <c r="C232" s="20">
        <v>45792</v>
      </c>
      <c r="D232" s="21"/>
      <c r="E232" s="19" t="s">
        <v>374</v>
      </c>
      <c r="F232" s="19" t="s">
        <v>365</v>
      </c>
      <c r="G232" s="19" t="s">
        <v>365</v>
      </c>
      <c r="H232" s="19" t="s">
        <v>624</v>
      </c>
      <c r="I232" s="21"/>
      <c r="J232" s="45">
        <v>7511052</v>
      </c>
      <c r="K232" s="45">
        <f t="shared" si="6"/>
        <v>-7511052</v>
      </c>
      <c r="L232" s="45">
        <f>IF(I232=0,0,I232/LOOKUP(C232,Settings!$F$5:$F$20,Settings!$G$5:$G$20))</f>
        <v>0</v>
      </c>
      <c r="M232" s="45">
        <f>IF(J232=0,0,J232/LOOKUP(C232,Settings!$F$5:$F$20,Settings!$G$5:$G$20))</f>
        <v>596.11523809523806</v>
      </c>
      <c r="N232" s="45">
        <f t="shared" si="7"/>
        <v>-596.11523809523806</v>
      </c>
      <c r="O232" s="21"/>
    </row>
    <row r="233" spans="1:15" x14ac:dyDescent="0.2">
      <c r="A233" s="13">
        <v>231</v>
      </c>
      <c r="B233" s="13" t="s">
        <v>625</v>
      </c>
      <c r="C233" s="14">
        <v>45792</v>
      </c>
      <c r="D233" s="15"/>
      <c r="E233" s="13" t="s">
        <v>376</v>
      </c>
      <c r="F233" s="13" t="s">
        <v>365</v>
      </c>
      <c r="G233" s="13" t="s">
        <v>365</v>
      </c>
      <c r="H233" s="13" t="s">
        <v>625</v>
      </c>
      <c r="I233" s="15"/>
      <c r="J233" s="44">
        <v>5419069</v>
      </c>
      <c r="K233" s="44">
        <f t="shared" si="6"/>
        <v>-5419069</v>
      </c>
      <c r="L233" s="44">
        <f>IF(I233=0,0,I233/LOOKUP(C233,Settings!$F$5:$F$20,Settings!$G$5:$G$20))</f>
        <v>0</v>
      </c>
      <c r="M233" s="44">
        <f>IF(J233=0,0,J233/LOOKUP(C233,Settings!$F$5:$F$20,Settings!$G$5:$G$20))</f>
        <v>430.08484126984126</v>
      </c>
      <c r="N233" s="44">
        <f t="shared" si="7"/>
        <v>-430.08484126984126</v>
      </c>
      <c r="O233" s="15"/>
    </row>
    <row r="234" spans="1:15" x14ac:dyDescent="0.2">
      <c r="A234" s="19">
        <v>232</v>
      </c>
      <c r="B234" s="19" t="s">
        <v>626</v>
      </c>
      <c r="C234" s="20">
        <v>45797</v>
      </c>
      <c r="D234" s="19" t="s">
        <v>627</v>
      </c>
      <c r="E234" s="21"/>
      <c r="F234" s="19" t="s">
        <v>224</v>
      </c>
      <c r="G234" s="19" t="s">
        <v>222</v>
      </c>
      <c r="H234" s="19" t="s">
        <v>172</v>
      </c>
      <c r="I234" s="21"/>
      <c r="J234" s="45">
        <v>121579129</v>
      </c>
      <c r="K234" s="45">
        <f t="shared" si="6"/>
        <v>-121579129</v>
      </c>
      <c r="L234" s="45">
        <f>IF(I234=0,0,I234/LOOKUP(C234,Settings!$F$5:$F$20,Settings!$G$5:$G$20))</f>
        <v>0</v>
      </c>
      <c r="M234" s="45">
        <f>IF(J234=0,0,J234/LOOKUP(C234,Settings!$F$5:$F$20,Settings!$G$5:$G$20))</f>
        <v>9649.1372222222217</v>
      </c>
      <c r="N234" s="45">
        <f t="shared" si="7"/>
        <v>-9649.1372222222217</v>
      </c>
      <c r="O234" s="19" t="s">
        <v>379</v>
      </c>
    </row>
    <row r="235" spans="1:15" x14ac:dyDescent="0.2">
      <c r="A235" s="13">
        <v>233</v>
      </c>
      <c r="B235" s="13" t="s">
        <v>628</v>
      </c>
      <c r="C235" s="14">
        <v>45797</v>
      </c>
      <c r="D235" s="15"/>
      <c r="E235" s="13" t="s">
        <v>381</v>
      </c>
      <c r="F235" s="13" t="s">
        <v>382</v>
      </c>
      <c r="G235" s="13" t="s">
        <v>382</v>
      </c>
      <c r="H235" s="13" t="s">
        <v>628</v>
      </c>
      <c r="I235" s="15"/>
      <c r="J235" s="44">
        <v>84452685</v>
      </c>
      <c r="K235" s="44">
        <f t="shared" si="6"/>
        <v>-84452685</v>
      </c>
      <c r="L235" s="44">
        <f>IF(I235=0,0,I235/LOOKUP(C235,Settings!$F$5:$F$20,Settings!$G$5:$G$20))</f>
        <v>0</v>
      </c>
      <c r="M235" s="44">
        <f>IF(J235=0,0,J235/LOOKUP(C235,Settings!$F$5:$F$20,Settings!$G$5:$G$20))</f>
        <v>6702.5940476190481</v>
      </c>
      <c r="N235" s="44">
        <f t="shared" si="7"/>
        <v>-6702.5940476190481</v>
      </c>
      <c r="O235" s="15"/>
    </row>
    <row r="236" spans="1:15" x14ac:dyDescent="0.2">
      <c r="A236" s="19">
        <v>234</v>
      </c>
      <c r="B236" s="19" t="s">
        <v>629</v>
      </c>
      <c r="C236" s="20">
        <v>45805</v>
      </c>
      <c r="D236" s="21"/>
      <c r="E236" s="19" t="s">
        <v>384</v>
      </c>
      <c r="F236" s="19" t="s">
        <v>382</v>
      </c>
      <c r="G236" s="19" t="s">
        <v>382</v>
      </c>
      <c r="H236" s="19" t="s">
        <v>629</v>
      </c>
      <c r="I236" s="21"/>
      <c r="J236" s="45">
        <v>357000000</v>
      </c>
      <c r="K236" s="45">
        <f t="shared" si="6"/>
        <v>-357000000</v>
      </c>
      <c r="L236" s="45">
        <f>IF(I236=0,0,I236/LOOKUP(C236,Settings!$F$5:$F$20,Settings!$G$5:$G$20))</f>
        <v>0</v>
      </c>
      <c r="M236" s="45">
        <f>IF(J236=0,0,J236/LOOKUP(C236,Settings!$F$5:$F$20,Settings!$G$5:$G$20))</f>
        <v>28333.333333333332</v>
      </c>
      <c r="N236" s="45">
        <f t="shared" si="7"/>
        <v>-28333.333333333332</v>
      </c>
      <c r="O236" s="19" t="s">
        <v>385</v>
      </c>
    </row>
    <row r="237" spans="1:15" x14ac:dyDescent="0.2">
      <c r="A237" s="13">
        <v>235</v>
      </c>
      <c r="B237" s="13" t="s">
        <v>630</v>
      </c>
      <c r="C237" s="14">
        <v>45805</v>
      </c>
      <c r="D237" s="15"/>
      <c r="E237" s="13" t="s">
        <v>387</v>
      </c>
      <c r="F237" s="13" t="s">
        <v>382</v>
      </c>
      <c r="G237" s="13" t="s">
        <v>222</v>
      </c>
      <c r="H237" s="13" t="s">
        <v>630</v>
      </c>
      <c r="I237" s="15"/>
      <c r="J237" s="44">
        <v>58381307</v>
      </c>
      <c r="K237" s="44">
        <f t="shared" si="6"/>
        <v>-58381307</v>
      </c>
      <c r="L237" s="44">
        <f>IF(I237=0,0,I237/LOOKUP(C237,Settings!$F$5:$F$20,Settings!$G$5:$G$20))</f>
        <v>0</v>
      </c>
      <c r="M237" s="44">
        <f>IF(J237=0,0,J237/LOOKUP(C237,Settings!$F$5:$F$20,Settings!$G$5:$G$20))</f>
        <v>4633.4370634920633</v>
      </c>
      <c r="N237" s="44">
        <f t="shared" si="7"/>
        <v>-4633.4370634920633</v>
      </c>
      <c r="O237" s="15"/>
    </row>
    <row r="238" spans="1:15" x14ac:dyDescent="0.2">
      <c r="A238" s="19">
        <v>236</v>
      </c>
      <c r="B238" s="19" t="s">
        <v>631</v>
      </c>
      <c r="C238" s="20">
        <v>45818</v>
      </c>
      <c r="D238" s="21"/>
      <c r="E238" s="19" t="s">
        <v>372</v>
      </c>
      <c r="F238" s="19" t="s">
        <v>365</v>
      </c>
      <c r="G238" s="19" t="s">
        <v>365</v>
      </c>
      <c r="H238" s="19" t="s">
        <v>631</v>
      </c>
      <c r="I238" s="21"/>
      <c r="J238" s="45">
        <v>15000000</v>
      </c>
      <c r="K238" s="45">
        <f t="shared" si="6"/>
        <v>-15000000</v>
      </c>
      <c r="L238" s="45">
        <f>IF(I238=0,0,I238/LOOKUP(C238,Settings!$F$5:$F$20,Settings!$G$5:$G$20))</f>
        <v>0</v>
      </c>
      <c r="M238" s="45">
        <f>IF(J238=0,0,J238/LOOKUP(C238,Settings!$F$5:$F$20,Settings!$G$5:$G$20))</f>
        <v>1190.4761904761904</v>
      </c>
      <c r="N238" s="45">
        <f t="shared" si="7"/>
        <v>-1190.4761904761904</v>
      </c>
      <c r="O238" s="21"/>
    </row>
    <row r="239" spans="1:15" x14ac:dyDescent="0.2">
      <c r="A239" s="13">
        <v>237</v>
      </c>
      <c r="B239" s="13" t="s">
        <v>632</v>
      </c>
      <c r="C239" s="14">
        <v>45823</v>
      </c>
      <c r="D239" s="15"/>
      <c r="E239" s="13" t="s">
        <v>374</v>
      </c>
      <c r="F239" s="13" t="s">
        <v>365</v>
      </c>
      <c r="G239" s="13" t="s">
        <v>365</v>
      </c>
      <c r="H239" s="13" t="s">
        <v>632</v>
      </c>
      <c r="I239" s="15"/>
      <c r="J239" s="44">
        <v>9031458</v>
      </c>
      <c r="K239" s="44">
        <f t="shared" si="6"/>
        <v>-9031458</v>
      </c>
      <c r="L239" s="44">
        <f>IF(I239=0,0,I239/LOOKUP(C239,Settings!$F$5:$F$20,Settings!$G$5:$G$20))</f>
        <v>0</v>
      </c>
      <c r="M239" s="44">
        <f>IF(J239=0,0,J239/LOOKUP(C239,Settings!$F$5:$F$20,Settings!$G$5:$G$20))</f>
        <v>716.782380952381</v>
      </c>
      <c r="N239" s="44">
        <f t="shared" si="7"/>
        <v>-716.782380952381</v>
      </c>
      <c r="O239" s="15"/>
    </row>
    <row r="240" spans="1:15" x14ac:dyDescent="0.2">
      <c r="A240" s="19">
        <v>238</v>
      </c>
      <c r="B240" s="19" t="s">
        <v>633</v>
      </c>
      <c r="C240" s="20">
        <v>45823</v>
      </c>
      <c r="D240" s="21"/>
      <c r="E240" s="19" t="s">
        <v>376</v>
      </c>
      <c r="F240" s="19" t="s">
        <v>365</v>
      </c>
      <c r="G240" s="19" t="s">
        <v>365</v>
      </c>
      <c r="H240" s="19" t="s">
        <v>633</v>
      </c>
      <c r="I240" s="21"/>
      <c r="J240" s="45">
        <v>7042165</v>
      </c>
      <c r="K240" s="45">
        <f t="shared" si="6"/>
        <v>-7042165</v>
      </c>
      <c r="L240" s="45">
        <f>IF(I240=0,0,I240/LOOKUP(C240,Settings!$F$5:$F$20,Settings!$G$5:$G$20))</f>
        <v>0</v>
      </c>
      <c r="M240" s="45">
        <f>IF(J240=0,0,J240/LOOKUP(C240,Settings!$F$5:$F$20,Settings!$G$5:$G$20))</f>
        <v>558.90198412698408</v>
      </c>
      <c r="N240" s="45">
        <f t="shared" si="7"/>
        <v>-558.90198412698408</v>
      </c>
      <c r="O240" s="21"/>
    </row>
    <row r="241" spans="1:15" x14ac:dyDescent="0.2">
      <c r="A241" s="13">
        <v>239</v>
      </c>
      <c r="B241" s="13" t="s">
        <v>634</v>
      </c>
      <c r="C241" s="14">
        <v>45823</v>
      </c>
      <c r="D241" s="15"/>
      <c r="E241" s="13" t="s">
        <v>368</v>
      </c>
      <c r="F241" s="13" t="s">
        <v>369</v>
      </c>
      <c r="G241" s="13" t="s">
        <v>370</v>
      </c>
      <c r="H241" s="13" t="s">
        <v>634</v>
      </c>
      <c r="I241" s="15"/>
      <c r="J241" s="44">
        <v>9365777</v>
      </c>
      <c r="K241" s="44">
        <f t="shared" si="6"/>
        <v>-9365777</v>
      </c>
      <c r="L241" s="44">
        <f>IF(I241=0,0,I241/LOOKUP(C241,Settings!$F$5:$F$20,Settings!$G$5:$G$20))</f>
        <v>0</v>
      </c>
      <c r="M241" s="44">
        <f>IF(J241=0,0,J241/LOOKUP(C241,Settings!$F$5:$F$20,Settings!$G$5:$G$20))</f>
        <v>743.31563492063492</v>
      </c>
      <c r="N241" s="44">
        <f t="shared" si="7"/>
        <v>-743.31563492063492</v>
      </c>
      <c r="O241" s="15"/>
    </row>
    <row r="242" spans="1:15" x14ac:dyDescent="0.2">
      <c r="A242" s="19">
        <v>240</v>
      </c>
      <c r="B242" s="19" t="s">
        <v>635</v>
      </c>
      <c r="C242" s="20">
        <v>45828</v>
      </c>
      <c r="D242" s="21"/>
      <c r="E242" s="19" t="s">
        <v>381</v>
      </c>
      <c r="F242" s="19" t="s">
        <v>382</v>
      </c>
      <c r="G242" s="19" t="s">
        <v>382</v>
      </c>
      <c r="H242" s="19" t="s">
        <v>635</v>
      </c>
      <c r="I242" s="21"/>
      <c r="J242" s="45">
        <v>78920514</v>
      </c>
      <c r="K242" s="45">
        <f t="shared" si="6"/>
        <v>-78920514</v>
      </c>
      <c r="L242" s="45">
        <f>IF(I242=0,0,I242/LOOKUP(C242,Settings!$F$5:$F$20,Settings!$G$5:$G$20))</f>
        <v>0</v>
      </c>
      <c r="M242" s="45">
        <f>IF(J242=0,0,J242/LOOKUP(C242,Settings!$F$5:$F$20,Settings!$G$5:$G$20))</f>
        <v>6263.5328571428572</v>
      </c>
      <c r="N242" s="45">
        <f t="shared" si="7"/>
        <v>-6263.5328571428572</v>
      </c>
      <c r="O242" s="21"/>
    </row>
    <row r="243" spans="1:15" x14ac:dyDescent="0.2">
      <c r="A243" s="13">
        <v>241</v>
      </c>
      <c r="B243" s="13" t="s">
        <v>636</v>
      </c>
      <c r="C243" s="14">
        <v>45836</v>
      </c>
      <c r="D243" s="15"/>
      <c r="E243" s="13" t="s">
        <v>384</v>
      </c>
      <c r="F243" s="13" t="s">
        <v>382</v>
      </c>
      <c r="G243" s="13" t="s">
        <v>382</v>
      </c>
      <c r="H243" s="13" t="s">
        <v>636</v>
      </c>
      <c r="I243" s="15"/>
      <c r="J243" s="44">
        <v>357000000</v>
      </c>
      <c r="K243" s="44">
        <f t="shared" si="6"/>
        <v>-357000000</v>
      </c>
      <c r="L243" s="44">
        <f>IF(I243=0,0,I243/LOOKUP(C243,Settings!$F$5:$F$20,Settings!$G$5:$G$20))</f>
        <v>0</v>
      </c>
      <c r="M243" s="44">
        <f>IF(J243=0,0,J243/LOOKUP(C243,Settings!$F$5:$F$20,Settings!$G$5:$G$20))</f>
        <v>28333.333333333332</v>
      </c>
      <c r="N243" s="44">
        <f t="shared" si="7"/>
        <v>-28333.333333333332</v>
      </c>
      <c r="O243" s="13" t="s">
        <v>385</v>
      </c>
    </row>
    <row r="244" spans="1:15" x14ac:dyDescent="0.2">
      <c r="A244" s="19">
        <v>242</v>
      </c>
      <c r="B244" s="19" t="s">
        <v>637</v>
      </c>
      <c r="C244" s="20">
        <v>45836</v>
      </c>
      <c r="D244" s="21"/>
      <c r="E244" s="19" t="s">
        <v>387</v>
      </c>
      <c r="F244" s="19" t="s">
        <v>382</v>
      </c>
      <c r="G244" s="19" t="s">
        <v>222</v>
      </c>
      <c r="H244" s="19" t="s">
        <v>637</v>
      </c>
      <c r="I244" s="21"/>
      <c r="J244" s="45">
        <v>60573601</v>
      </c>
      <c r="K244" s="45">
        <f t="shared" si="6"/>
        <v>-60573601</v>
      </c>
      <c r="L244" s="45">
        <f>IF(I244=0,0,I244/LOOKUP(C244,Settings!$F$5:$F$20,Settings!$G$5:$G$20))</f>
        <v>0</v>
      </c>
      <c r="M244" s="45">
        <f>IF(J244=0,0,J244/LOOKUP(C244,Settings!$F$5:$F$20,Settings!$G$5:$G$20))</f>
        <v>4807.4286507936504</v>
      </c>
      <c r="N244" s="45">
        <f t="shared" si="7"/>
        <v>-4807.4286507936504</v>
      </c>
      <c r="O244" s="21"/>
    </row>
    <row r="245" spans="1:15" x14ac:dyDescent="0.2">
      <c r="A245" s="13">
        <v>243</v>
      </c>
      <c r="B245" s="13" t="s">
        <v>638</v>
      </c>
      <c r="C245" s="14">
        <v>45843</v>
      </c>
      <c r="D245" s="15"/>
      <c r="E245" s="13" t="s">
        <v>363</v>
      </c>
      <c r="F245" s="13" t="s">
        <v>364</v>
      </c>
      <c r="G245" s="13" t="s">
        <v>365</v>
      </c>
      <c r="H245" s="13" t="s">
        <v>638</v>
      </c>
      <c r="I245" s="15"/>
      <c r="J245" s="44">
        <v>32000000</v>
      </c>
      <c r="K245" s="44">
        <f t="shared" si="6"/>
        <v>-32000000</v>
      </c>
      <c r="L245" s="44">
        <f>IF(I245=0,0,I245/LOOKUP(C245,Settings!$F$5:$F$20,Settings!$G$5:$G$20))</f>
        <v>0</v>
      </c>
      <c r="M245" s="44">
        <f>IF(J245=0,0,J245/LOOKUP(C245,Settings!$F$5:$F$20,Settings!$G$5:$G$20))</f>
        <v>2519.6850393700788</v>
      </c>
      <c r="N245" s="44">
        <f t="shared" si="7"/>
        <v>-2519.6850393700788</v>
      </c>
      <c r="O245" s="13" t="s">
        <v>366</v>
      </c>
    </row>
    <row r="246" spans="1:15" x14ac:dyDescent="0.2">
      <c r="A246" s="19">
        <v>244</v>
      </c>
      <c r="B246" s="19" t="s">
        <v>639</v>
      </c>
      <c r="C246" s="20">
        <v>45848</v>
      </c>
      <c r="D246" s="21"/>
      <c r="E246" s="19" t="s">
        <v>372</v>
      </c>
      <c r="F246" s="19" t="s">
        <v>365</v>
      </c>
      <c r="G246" s="19" t="s">
        <v>365</v>
      </c>
      <c r="H246" s="19" t="s">
        <v>639</v>
      </c>
      <c r="I246" s="21"/>
      <c r="J246" s="45">
        <v>15000000</v>
      </c>
      <c r="K246" s="45">
        <f t="shared" si="6"/>
        <v>-15000000</v>
      </c>
      <c r="L246" s="45">
        <f>IF(I246=0,0,I246/LOOKUP(C246,Settings!$F$5:$F$20,Settings!$G$5:$G$20))</f>
        <v>0</v>
      </c>
      <c r="M246" s="45">
        <f>IF(J246=0,0,J246/LOOKUP(C246,Settings!$F$5:$F$20,Settings!$G$5:$G$20))</f>
        <v>1181.1023622047244</v>
      </c>
      <c r="N246" s="45">
        <f t="shared" si="7"/>
        <v>-1181.1023622047244</v>
      </c>
      <c r="O246" s="21"/>
    </row>
    <row r="247" spans="1:15" x14ac:dyDescent="0.2">
      <c r="A247" s="13">
        <v>245</v>
      </c>
      <c r="B247" s="13" t="s">
        <v>640</v>
      </c>
      <c r="C247" s="14">
        <v>45853</v>
      </c>
      <c r="D247" s="15"/>
      <c r="E247" s="13" t="s">
        <v>374</v>
      </c>
      <c r="F247" s="13" t="s">
        <v>365</v>
      </c>
      <c r="G247" s="13" t="s">
        <v>365</v>
      </c>
      <c r="H247" s="13" t="s">
        <v>640</v>
      </c>
      <c r="I247" s="15"/>
      <c r="J247" s="44">
        <v>9489515</v>
      </c>
      <c r="K247" s="44">
        <f t="shared" si="6"/>
        <v>-9489515</v>
      </c>
      <c r="L247" s="44">
        <f>IF(I247=0,0,I247/LOOKUP(C247,Settings!$F$5:$F$20,Settings!$G$5:$G$20))</f>
        <v>0</v>
      </c>
      <c r="M247" s="44">
        <f>IF(J247=0,0,J247/LOOKUP(C247,Settings!$F$5:$F$20,Settings!$G$5:$G$20))</f>
        <v>747.20590551181101</v>
      </c>
      <c r="N247" s="44">
        <f t="shared" si="7"/>
        <v>-747.20590551181101</v>
      </c>
      <c r="O247" s="15"/>
    </row>
    <row r="248" spans="1:15" x14ac:dyDescent="0.2">
      <c r="A248" s="19">
        <v>246</v>
      </c>
      <c r="B248" s="19" t="s">
        <v>641</v>
      </c>
      <c r="C248" s="20">
        <v>45853</v>
      </c>
      <c r="D248" s="21"/>
      <c r="E248" s="19" t="s">
        <v>376</v>
      </c>
      <c r="F248" s="19" t="s">
        <v>365</v>
      </c>
      <c r="G248" s="19" t="s">
        <v>365</v>
      </c>
      <c r="H248" s="19" t="s">
        <v>641</v>
      </c>
      <c r="I248" s="21"/>
      <c r="J248" s="45">
        <v>6622547</v>
      </c>
      <c r="K248" s="45">
        <f t="shared" si="6"/>
        <v>-6622547</v>
      </c>
      <c r="L248" s="45">
        <f>IF(I248=0,0,I248/LOOKUP(C248,Settings!$F$5:$F$20,Settings!$G$5:$G$20))</f>
        <v>0</v>
      </c>
      <c r="M248" s="45">
        <f>IF(J248=0,0,J248/LOOKUP(C248,Settings!$F$5:$F$20,Settings!$G$5:$G$20))</f>
        <v>521.46039370078745</v>
      </c>
      <c r="N248" s="45">
        <f t="shared" si="7"/>
        <v>-521.46039370078745</v>
      </c>
      <c r="O248" s="21"/>
    </row>
    <row r="249" spans="1:15" x14ac:dyDescent="0.2">
      <c r="A249" s="13">
        <v>247</v>
      </c>
      <c r="B249" s="13" t="s">
        <v>642</v>
      </c>
      <c r="C249" s="14">
        <v>45858</v>
      </c>
      <c r="D249" s="15"/>
      <c r="E249" s="13" t="s">
        <v>381</v>
      </c>
      <c r="F249" s="13" t="s">
        <v>382</v>
      </c>
      <c r="G249" s="13" t="s">
        <v>382</v>
      </c>
      <c r="H249" s="13" t="s">
        <v>642</v>
      </c>
      <c r="I249" s="15"/>
      <c r="J249" s="44">
        <v>81740131</v>
      </c>
      <c r="K249" s="44">
        <f t="shared" si="6"/>
        <v>-81740131</v>
      </c>
      <c r="L249" s="44">
        <f>IF(I249=0,0,I249/LOOKUP(C249,Settings!$F$5:$F$20,Settings!$G$5:$G$20))</f>
        <v>0</v>
      </c>
      <c r="M249" s="44">
        <f>IF(J249=0,0,J249/LOOKUP(C249,Settings!$F$5:$F$20,Settings!$G$5:$G$20))</f>
        <v>6436.2307874015751</v>
      </c>
      <c r="N249" s="44">
        <f t="shared" si="7"/>
        <v>-6436.2307874015751</v>
      </c>
      <c r="O249" s="15"/>
    </row>
    <row r="250" spans="1:15" x14ac:dyDescent="0.2">
      <c r="A250" s="19">
        <v>248</v>
      </c>
      <c r="B250" s="19" t="s">
        <v>643</v>
      </c>
      <c r="C250" s="20">
        <v>45866</v>
      </c>
      <c r="D250" s="21"/>
      <c r="E250" s="19" t="s">
        <v>384</v>
      </c>
      <c r="F250" s="19" t="s">
        <v>382</v>
      </c>
      <c r="G250" s="19" t="s">
        <v>382</v>
      </c>
      <c r="H250" s="19" t="s">
        <v>643</v>
      </c>
      <c r="I250" s="21"/>
      <c r="J250" s="45">
        <v>357000000</v>
      </c>
      <c r="K250" s="45">
        <f t="shared" si="6"/>
        <v>-357000000</v>
      </c>
      <c r="L250" s="45">
        <f>IF(I250=0,0,I250/LOOKUP(C250,Settings!$F$5:$F$20,Settings!$G$5:$G$20))</f>
        <v>0</v>
      </c>
      <c r="M250" s="45">
        <f>IF(J250=0,0,J250/LOOKUP(C250,Settings!$F$5:$F$20,Settings!$G$5:$G$20))</f>
        <v>28110.236220472441</v>
      </c>
      <c r="N250" s="45">
        <f t="shared" si="7"/>
        <v>-28110.236220472441</v>
      </c>
      <c r="O250" s="19" t="s">
        <v>385</v>
      </c>
    </row>
    <row r="251" spans="1:15" x14ac:dyDescent="0.2">
      <c r="A251" s="13">
        <v>249</v>
      </c>
      <c r="B251" s="13" t="s">
        <v>644</v>
      </c>
      <c r="C251" s="14">
        <v>45866</v>
      </c>
      <c r="D251" s="15"/>
      <c r="E251" s="13" t="s">
        <v>387</v>
      </c>
      <c r="F251" s="13" t="s">
        <v>382</v>
      </c>
      <c r="G251" s="13" t="s">
        <v>222</v>
      </c>
      <c r="H251" s="13" t="s">
        <v>644</v>
      </c>
      <c r="I251" s="15"/>
      <c r="J251" s="44">
        <v>56781796</v>
      </c>
      <c r="K251" s="44">
        <f t="shared" si="6"/>
        <v>-56781796</v>
      </c>
      <c r="L251" s="44">
        <f>IF(I251=0,0,I251/LOOKUP(C251,Settings!$F$5:$F$20,Settings!$G$5:$G$20))</f>
        <v>0</v>
      </c>
      <c r="M251" s="44">
        <f>IF(J251=0,0,J251/LOOKUP(C251,Settings!$F$5:$F$20,Settings!$G$5:$G$20))</f>
        <v>4471.0075590551178</v>
      </c>
      <c r="N251" s="44">
        <f t="shared" si="7"/>
        <v>-4471.0075590551178</v>
      </c>
      <c r="O251" s="15"/>
    </row>
    <row r="252" spans="1:15" x14ac:dyDescent="0.2">
      <c r="A252" s="19">
        <v>250</v>
      </c>
      <c r="B252" s="19" t="s">
        <v>645</v>
      </c>
      <c r="C252" s="20">
        <v>45879</v>
      </c>
      <c r="D252" s="21"/>
      <c r="E252" s="19" t="s">
        <v>372</v>
      </c>
      <c r="F252" s="19" t="s">
        <v>365</v>
      </c>
      <c r="G252" s="19" t="s">
        <v>365</v>
      </c>
      <c r="H252" s="19" t="s">
        <v>645</v>
      </c>
      <c r="I252" s="21"/>
      <c r="J252" s="45">
        <v>15000000</v>
      </c>
      <c r="K252" s="45">
        <f t="shared" si="6"/>
        <v>-15000000</v>
      </c>
      <c r="L252" s="45">
        <f>IF(I252=0,0,I252/LOOKUP(C252,Settings!$F$5:$F$20,Settings!$G$5:$G$20))</f>
        <v>0</v>
      </c>
      <c r="M252" s="45">
        <f>IF(J252=0,0,J252/LOOKUP(C252,Settings!$F$5:$F$20,Settings!$G$5:$G$20))</f>
        <v>1181.1023622047244</v>
      </c>
      <c r="N252" s="45">
        <f t="shared" si="7"/>
        <v>-1181.1023622047244</v>
      </c>
      <c r="O252" s="21"/>
    </row>
    <row r="253" spans="1:15" x14ac:dyDescent="0.2">
      <c r="A253" s="13">
        <v>251</v>
      </c>
      <c r="B253" s="13" t="s">
        <v>646</v>
      </c>
      <c r="C253" s="14">
        <v>45884</v>
      </c>
      <c r="D253" s="15"/>
      <c r="E253" s="13" t="s">
        <v>374</v>
      </c>
      <c r="F253" s="13" t="s">
        <v>365</v>
      </c>
      <c r="G253" s="13" t="s">
        <v>365</v>
      </c>
      <c r="H253" s="13" t="s">
        <v>646</v>
      </c>
      <c r="I253" s="15"/>
      <c r="J253" s="44">
        <v>7258865</v>
      </c>
      <c r="K253" s="44">
        <f t="shared" si="6"/>
        <v>-7258865</v>
      </c>
      <c r="L253" s="44">
        <f>IF(I253=0,0,I253/LOOKUP(C253,Settings!$F$5:$F$20,Settings!$G$5:$G$20))</f>
        <v>0</v>
      </c>
      <c r="M253" s="44">
        <f>IF(J253=0,0,J253/LOOKUP(C253,Settings!$F$5:$F$20,Settings!$G$5:$G$20))</f>
        <v>571.56417322834648</v>
      </c>
      <c r="N253" s="44">
        <f t="shared" si="7"/>
        <v>-571.56417322834648</v>
      </c>
      <c r="O253" s="15"/>
    </row>
    <row r="254" spans="1:15" x14ac:dyDescent="0.2">
      <c r="A254" s="19">
        <v>252</v>
      </c>
      <c r="B254" s="19" t="s">
        <v>647</v>
      </c>
      <c r="C254" s="20">
        <v>45884</v>
      </c>
      <c r="D254" s="21"/>
      <c r="E254" s="19" t="s">
        <v>376</v>
      </c>
      <c r="F254" s="19" t="s">
        <v>365</v>
      </c>
      <c r="G254" s="19" t="s">
        <v>365</v>
      </c>
      <c r="H254" s="19" t="s">
        <v>647</v>
      </c>
      <c r="I254" s="21"/>
      <c r="J254" s="45">
        <v>6684510</v>
      </c>
      <c r="K254" s="45">
        <f t="shared" si="6"/>
        <v>-6684510</v>
      </c>
      <c r="L254" s="45">
        <f>IF(I254=0,0,I254/LOOKUP(C254,Settings!$F$5:$F$20,Settings!$G$5:$G$20))</f>
        <v>0</v>
      </c>
      <c r="M254" s="45">
        <f>IF(J254=0,0,J254/LOOKUP(C254,Settings!$F$5:$F$20,Settings!$G$5:$G$20))</f>
        <v>526.3393700787401</v>
      </c>
      <c r="N254" s="45">
        <f t="shared" si="7"/>
        <v>-526.3393700787401</v>
      </c>
      <c r="O254" s="21"/>
    </row>
    <row r="255" spans="1:15" x14ac:dyDescent="0.2">
      <c r="A255" s="13">
        <v>253</v>
      </c>
      <c r="B255" s="13" t="s">
        <v>648</v>
      </c>
      <c r="C255" s="14">
        <v>45889</v>
      </c>
      <c r="D255" s="13" t="s">
        <v>649</v>
      </c>
      <c r="E255" s="15"/>
      <c r="F255" s="13" t="s">
        <v>224</v>
      </c>
      <c r="G255" s="13" t="s">
        <v>222</v>
      </c>
      <c r="H255" s="13" t="s">
        <v>180</v>
      </c>
      <c r="I255" s="15"/>
      <c r="J255" s="44">
        <v>99174875</v>
      </c>
      <c r="K255" s="44">
        <f t="shared" si="6"/>
        <v>-99174875</v>
      </c>
      <c r="L255" s="44">
        <f>IF(I255=0,0,I255/LOOKUP(C255,Settings!$F$5:$F$20,Settings!$G$5:$G$20))</f>
        <v>0</v>
      </c>
      <c r="M255" s="44">
        <f>IF(J255=0,0,J255/LOOKUP(C255,Settings!$F$5:$F$20,Settings!$G$5:$G$20))</f>
        <v>7809.0452755905508</v>
      </c>
      <c r="N255" s="44">
        <f t="shared" si="7"/>
        <v>-7809.0452755905508</v>
      </c>
      <c r="O255" s="13" t="s">
        <v>379</v>
      </c>
    </row>
    <row r="256" spans="1:15" x14ac:dyDescent="0.2">
      <c r="A256" s="19">
        <v>254</v>
      </c>
      <c r="B256" s="19" t="s">
        <v>650</v>
      </c>
      <c r="C256" s="20">
        <v>45889</v>
      </c>
      <c r="D256" s="21"/>
      <c r="E256" s="19" t="s">
        <v>381</v>
      </c>
      <c r="F256" s="19" t="s">
        <v>382</v>
      </c>
      <c r="G256" s="19" t="s">
        <v>382</v>
      </c>
      <c r="H256" s="19" t="s">
        <v>650</v>
      </c>
      <c r="I256" s="21"/>
      <c r="J256" s="45">
        <v>91706956</v>
      </c>
      <c r="K256" s="45">
        <f t="shared" si="6"/>
        <v>-91706956</v>
      </c>
      <c r="L256" s="45">
        <f>IF(I256=0,0,I256/LOOKUP(C256,Settings!$F$5:$F$20,Settings!$G$5:$G$20))</f>
        <v>0</v>
      </c>
      <c r="M256" s="45">
        <f>IF(J256=0,0,J256/LOOKUP(C256,Settings!$F$5:$F$20,Settings!$G$5:$G$20))</f>
        <v>7221.020157480315</v>
      </c>
      <c r="N256" s="45">
        <f t="shared" si="7"/>
        <v>-7221.020157480315</v>
      </c>
      <c r="O256" s="21"/>
    </row>
    <row r="257" spans="1:15" x14ac:dyDescent="0.2">
      <c r="A257" s="13">
        <v>255</v>
      </c>
      <c r="B257" s="13" t="s">
        <v>651</v>
      </c>
      <c r="C257" s="14">
        <v>45897</v>
      </c>
      <c r="D257" s="15"/>
      <c r="E257" s="13" t="s">
        <v>384</v>
      </c>
      <c r="F257" s="13" t="s">
        <v>382</v>
      </c>
      <c r="G257" s="13" t="s">
        <v>382</v>
      </c>
      <c r="H257" s="13" t="s">
        <v>651</v>
      </c>
      <c r="I257" s="15"/>
      <c r="J257" s="44">
        <v>357000000</v>
      </c>
      <c r="K257" s="44">
        <f t="shared" si="6"/>
        <v>-357000000</v>
      </c>
      <c r="L257" s="44">
        <f>IF(I257=0,0,I257/LOOKUP(C257,Settings!$F$5:$F$20,Settings!$G$5:$G$20))</f>
        <v>0</v>
      </c>
      <c r="M257" s="44">
        <f>IF(J257=0,0,J257/LOOKUP(C257,Settings!$F$5:$F$20,Settings!$G$5:$G$20))</f>
        <v>28110.236220472441</v>
      </c>
      <c r="N257" s="44">
        <f t="shared" si="7"/>
        <v>-28110.236220472441</v>
      </c>
      <c r="O257" s="13" t="s">
        <v>385</v>
      </c>
    </row>
    <row r="258" spans="1:15" x14ac:dyDescent="0.2">
      <c r="A258" s="19">
        <v>256</v>
      </c>
      <c r="B258" s="19" t="s">
        <v>652</v>
      </c>
      <c r="C258" s="20">
        <v>45897</v>
      </c>
      <c r="D258" s="21"/>
      <c r="E258" s="19" t="s">
        <v>387</v>
      </c>
      <c r="F258" s="19" t="s">
        <v>382</v>
      </c>
      <c r="G258" s="19" t="s">
        <v>222</v>
      </c>
      <c r="H258" s="19" t="s">
        <v>652</v>
      </c>
      <c r="I258" s="21"/>
      <c r="J258" s="45">
        <v>56691108</v>
      </c>
      <c r="K258" s="45">
        <f t="shared" si="6"/>
        <v>-56691108</v>
      </c>
      <c r="L258" s="45">
        <f>IF(I258=0,0,I258/LOOKUP(C258,Settings!$F$5:$F$20,Settings!$G$5:$G$20))</f>
        <v>0</v>
      </c>
      <c r="M258" s="45">
        <f>IF(J258=0,0,J258/LOOKUP(C258,Settings!$F$5:$F$20,Settings!$G$5:$G$20))</f>
        <v>4463.8667716535429</v>
      </c>
      <c r="N258" s="45">
        <f t="shared" si="7"/>
        <v>-4463.8667716535429</v>
      </c>
      <c r="O258" s="21"/>
    </row>
    <row r="259" spans="1:15" x14ac:dyDescent="0.2">
      <c r="A259" s="13">
        <v>257</v>
      </c>
      <c r="B259" s="13" t="s">
        <v>653</v>
      </c>
      <c r="C259" s="14">
        <v>45910</v>
      </c>
      <c r="D259" s="15"/>
      <c r="E259" s="13" t="s">
        <v>372</v>
      </c>
      <c r="F259" s="13" t="s">
        <v>365</v>
      </c>
      <c r="G259" s="13" t="s">
        <v>365</v>
      </c>
      <c r="H259" s="13" t="s">
        <v>653</v>
      </c>
      <c r="I259" s="15"/>
      <c r="J259" s="44">
        <v>15000000</v>
      </c>
      <c r="K259" s="44">
        <f t="shared" ref="K259:K322" si="8">I259-J259</f>
        <v>-15000000</v>
      </c>
      <c r="L259" s="44">
        <f>IF(I259=0,0,I259/LOOKUP(C259,Settings!$F$5:$F$20,Settings!$G$5:$G$20))</f>
        <v>0</v>
      </c>
      <c r="M259" s="44">
        <f>IF(J259=0,0,J259/LOOKUP(C259,Settings!$F$5:$F$20,Settings!$G$5:$G$20))</f>
        <v>1181.1023622047244</v>
      </c>
      <c r="N259" s="44">
        <f t="shared" ref="N259:N322" si="9">L259-M259</f>
        <v>-1181.1023622047244</v>
      </c>
      <c r="O259" s="15"/>
    </row>
    <row r="260" spans="1:15" x14ac:dyDescent="0.2">
      <c r="A260" s="19">
        <v>258</v>
      </c>
      <c r="B260" s="19" t="s">
        <v>654</v>
      </c>
      <c r="C260" s="20">
        <v>45915</v>
      </c>
      <c r="D260" s="21"/>
      <c r="E260" s="19" t="s">
        <v>374</v>
      </c>
      <c r="F260" s="19" t="s">
        <v>365</v>
      </c>
      <c r="G260" s="19" t="s">
        <v>365</v>
      </c>
      <c r="H260" s="19" t="s">
        <v>654</v>
      </c>
      <c r="I260" s="21"/>
      <c r="J260" s="45">
        <v>7887067</v>
      </c>
      <c r="K260" s="45">
        <f t="shared" si="8"/>
        <v>-7887067</v>
      </c>
      <c r="L260" s="45">
        <f>IF(I260=0,0,I260/LOOKUP(C260,Settings!$F$5:$F$20,Settings!$G$5:$G$20))</f>
        <v>0</v>
      </c>
      <c r="M260" s="45">
        <f>IF(J260=0,0,J260/LOOKUP(C260,Settings!$F$5:$F$20,Settings!$G$5:$G$20))</f>
        <v>621.02889763779524</v>
      </c>
      <c r="N260" s="45">
        <f t="shared" si="9"/>
        <v>-621.02889763779524</v>
      </c>
      <c r="O260" s="21"/>
    </row>
    <row r="261" spans="1:15" x14ac:dyDescent="0.2">
      <c r="A261" s="13">
        <v>259</v>
      </c>
      <c r="B261" s="13" t="s">
        <v>655</v>
      </c>
      <c r="C261" s="14">
        <v>45915</v>
      </c>
      <c r="D261" s="15"/>
      <c r="E261" s="13" t="s">
        <v>376</v>
      </c>
      <c r="F261" s="13" t="s">
        <v>365</v>
      </c>
      <c r="G261" s="13" t="s">
        <v>365</v>
      </c>
      <c r="H261" s="13" t="s">
        <v>655</v>
      </c>
      <c r="I261" s="15"/>
      <c r="J261" s="44">
        <v>5442220</v>
      </c>
      <c r="K261" s="44">
        <f t="shared" si="8"/>
        <v>-5442220</v>
      </c>
      <c r="L261" s="44">
        <f>IF(I261=0,0,I261/LOOKUP(C261,Settings!$F$5:$F$20,Settings!$G$5:$G$20))</f>
        <v>0</v>
      </c>
      <c r="M261" s="44">
        <f>IF(J261=0,0,J261/LOOKUP(C261,Settings!$F$5:$F$20,Settings!$G$5:$G$20))</f>
        <v>428.52125984251967</v>
      </c>
      <c r="N261" s="44">
        <f t="shared" si="9"/>
        <v>-428.52125984251967</v>
      </c>
      <c r="O261" s="15"/>
    </row>
    <row r="262" spans="1:15" x14ac:dyDescent="0.2">
      <c r="A262" s="19">
        <v>260</v>
      </c>
      <c r="B262" s="19" t="s">
        <v>656</v>
      </c>
      <c r="C262" s="20">
        <v>45920</v>
      </c>
      <c r="D262" s="21"/>
      <c r="E262" s="19" t="s">
        <v>381</v>
      </c>
      <c r="F262" s="19" t="s">
        <v>382</v>
      </c>
      <c r="G262" s="19" t="s">
        <v>382</v>
      </c>
      <c r="H262" s="19" t="s">
        <v>656</v>
      </c>
      <c r="I262" s="21"/>
      <c r="J262" s="45">
        <v>87570644</v>
      </c>
      <c r="K262" s="45">
        <f t="shared" si="8"/>
        <v>-87570644</v>
      </c>
      <c r="L262" s="45">
        <f>IF(I262=0,0,I262/LOOKUP(C262,Settings!$F$5:$F$20,Settings!$G$5:$G$20))</f>
        <v>0</v>
      </c>
      <c r="M262" s="45">
        <f>IF(J262=0,0,J262/LOOKUP(C262,Settings!$F$5:$F$20,Settings!$G$5:$G$20))</f>
        <v>6895.3262992125983</v>
      </c>
      <c r="N262" s="45">
        <f t="shared" si="9"/>
        <v>-6895.3262992125983</v>
      </c>
      <c r="O262" s="21"/>
    </row>
    <row r="263" spans="1:15" x14ac:dyDescent="0.2">
      <c r="A263" s="13">
        <v>261</v>
      </c>
      <c r="B263" s="13" t="s">
        <v>657</v>
      </c>
      <c r="C263" s="14">
        <v>45928</v>
      </c>
      <c r="D263" s="15"/>
      <c r="E263" s="13" t="s">
        <v>384</v>
      </c>
      <c r="F263" s="13" t="s">
        <v>382</v>
      </c>
      <c r="G263" s="13" t="s">
        <v>382</v>
      </c>
      <c r="H263" s="13" t="s">
        <v>657</v>
      </c>
      <c r="I263" s="15"/>
      <c r="J263" s="44">
        <v>357000000</v>
      </c>
      <c r="K263" s="44">
        <f t="shared" si="8"/>
        <v>-357000000</v>
      </c>
      <c r="L263" s="44">
        <f>IF(I263=0,0,I263/LOOKUP(C263,Settings!$F$5:$F$20,Settings!$G$5:$G$20))</f>
        <v>0</v>
      </c>
      <c r="M263" s="44">
        <f>IF(J263=0,0,J263/LOOKUP(C263,Settings!$F$5:$F$20,Settings!$G$5:$G$20))</f>
        <v>28110.236220472441</v>
      </c>
      <c r="N263" s="44">
        <f t="shared" si="9"/>
        <v>-28110.236220472441</v>
      </c>
      <c r="O263" s="13" t="s">
        <v>385</v>
      </c>
    </row>
    <row r="264" spans="1:15" x14ac:dyDescent="0.2">
      <c r="A264" s="19">
        <v>262</v>
      </c>
      <c r="B264" s="19" t="s">
        <v>658</v>
      </c>
      <c r="C264" s="20">
        <v>45928</v>
      </c>
      <c r="D264" s="21"/>
      <c r="E264" s="19" t="s">
        <v>387</v>
      </c>
      <c r="F264" s="19" t="s">
        <v>382</v>
      </c>
      <c r="G264" s="19" t="s">
        <v>222</v>
      </c>
      <c r="H264" s="19" t="s">
        <v>658</v>
      </c>
      <c r="I264" s="21"/>
      <c r="J264" s="45">
        <v>40736527</v>
      </c>
      <c r="K264" s="45">
        <f t="shared" si="8"/>
        <v>-40736527</v>
      </c>
      <c r="L264" s="45">
        <f>IF(I264=0,0,I264/LOOKUP(C264,Settings!$F$5:$F$20,Settings!$G$5:$G$20))</f>
        <v>0</v>
      </c>
      <c r="M264" s="45">
        <f>IF(J264=0,0,J264/LOOKUP(C264,Settings!$F$5:$F$20,Settings!$G$5:$G$20))</f>
        <v>3207.6005511811022</v>
      </c>
      <c r="N264" s="45">
        <f t="shared" si="9"/>
        <v>-3207.6005511811022</v>
      </c>
      <c r="O264" s="21"/>
    </row>
    <row r="265" spans="1:15" x14ac:dyDescent="0.2">
      <c r="A265" s="13">
        <v>263</v>
      </c>
      <c r="B265" s="13" t="s">
        <v>659</v>
      </c>
      <c r="C265" s="14">
        <v>45940</v>
      </c>
      <c r="D265" s="15"/>
      <c r="E265" s="13" t="s">
        <v>372</v>
      </c>
      <c r="F265" s="13" t="s">
        <v>365</v>
      </c>
      <c r="G265" s="13" t="s">
        <v>365</v>
      </c>
      <c r="H265" s="13" t="s">
        <v>659</v>
      </c>
      <c r="I265" s="15"/>
      <c r="J265" s="44">
        <v>15000000</v>
      </c>
      <c r="K265" s="44">
        <f t="shared" si="8"/>
        <v>-15000000</v>
      </c>
      <c r="L265" s="44">
        <f>IF(I265=0,0,I265/LOOKUP(C265,Settings!$F$5:$F$20,Settings!$G$5:$G$20))</f>
        <v>0</v>
      </c>
      <c r="M265" s="44">
        <f>IF(J265=0,0,J265/LOOKUP(C265,Settings!$F$5:$F$20,Settings!$G$5:$G$20))</f>
        <v>1171.875</v>
      </c>
      <c r="N265" s="44">
        <f t="shared" si="9"/>
        <v>-1171.875</v>
      </c>
      <c r="O265" s="15"/>
    </row>
    <row r="266" spans="1:15" x14ac:dyDescent="0.2">
      <c r="A266" s="19">
        <v>264</v>
      </c>
      <c r="B266" s="19" t="s">
        <v>660</v>
      </c>
      <c r="C266" s="20">
        <v>45945</v>
      </c>
      <c r="D266" s="21"/>
      <c r="E266" s="19" t="s">
        <v>374</v>
      </c>
      <c r="F266" s="19" t="s">
        <v>365</v>
      </c>
      <c r="G266" s="19" t="s">
        <v>365</v>
      </c>
      <c r="H266" s="19" t="s">
        <v>660</v>
      </c>
      <c r="I266" s="21"/>
      <c r="J266" s="45">
        <v>7078783</v>
      </c>
      <c r="K266" s="45">
        <f t="shared" si="8"/>
        <v>-7078783</v>
      </c>
      <c r="L266" s="45">
        <f>IF(I266=0,0,I266/LOOKUP(C266,Settings!$F$5:$F$20,Settings!$G$5:$G$20))</f>
        <v>0</v>
      </c>
      <c r="M266" s="45">
        <f>IF(J266=0,0,J266/LOOKUP(C266,Settings!$F$5:$F$20,Settings!$G$5:$G$20))</f>
        <v>553.02992187500001</v>
      </c>
      <c r="N266" s="45">
        <f t="shared" si="9"/>
        <v>-553.02992187500001</v>
      </c>
      <c r="O266" s="21"/>
    </row>
    <row r="267" spans="1:15" x14ac:dyDescent="0.2">
      <c r="A267" s="13">
        <v>265</v>
      </c>
      <c r="B267" s="13" t="s">
        <v>661</v>
      </c>
      <c r="C267" s="14">
        <v>45945</v>
      </c>
      <c r="D267" s="15"/>
      <c r="E267" s="13" t="s">
        <v>376</v>
      </c>
      <c r="F267" s="13" t="s">
        <v>365</v>
      </c>
      <c r="G267" s="13" t="s">
        <v>365</v>
      </c>
      <c r="H267" s="13" t="s">
        <v>661</v>
      </c>
      <c r="I267" s="15"/>
      <c r="J267" s="44">
        <v>5335931</v>
      </c>
      <c r="K267" s="44">
        <f t="shared" si="8"/>
        <v>-5335931</v>
      </c>
      <c r="L267" s="44">
        <f>IF(I267=0,0,I267/LOOKUP(C267,Settings!$F$5:$F$20,Settings!$G$5:$G$20))</f>
        <v>0</v>
      </c>
      <c r="M267" s="44">
        <f>IF(J267=0,0,J267/LOOKUP(C267,Settings!$F$5:$F$20,Settings!$G$5:$G$20))</f>
        <v>416.86960937499998</v>
      </c>
      <c r="N267" s="44">
        <f t="shared" si="9"/>
        <v>-416.86960937499998</v>
      </c>
      <c r="O267" s="15"/>
    </row>
    <row r="268" spans="1:15" x14ac:dyDescent="0.2">
      <c r="A268" s="19">
        <v>266</v>
      </c>
      <c r="B268" s="19" t="s">
        <v>662</v>
      </c>
      <c r="C268" s="20">
        <v>45950</v>
      </c>
      <c r="D268" s="21"/>
      <c r="E268" s="19" t="s">
        <v>381</v>
      </c>
      <c r="F268" s="19" t="s">
        <v>382</v>
      </c>
      <c r="G268" s="19" t="s">
        <v>382</v>
      </c>
      <c r="H268" s="19" t="s">
        <v>662</v>
      </c>
      <c r="I268" s="21"/>
      <c r="J268" s="45">
        <v>90783655</v>
      </c>
      <c r="K268" s="45">
        <f t="shared" si="8"/>
        <v>-90783655</v>
      </c>
      <c r="L268" s="45">
        <f>IF(I268=0,0,I268/LOOKUP(C268,Settings!$F$5:$F$20,Settings!$G$5:$G$20))</f>
        <v>0</v>
      </c>
      <c r="M268" s="45">
        <f>IF(J268=0,0,J268/LOOKUP(C268,Settings!$F$5:$F$20,Settings!$G$5:$G$20))</f>
        <v>7092.4730468750004</v>
      </c>
      <c r="N268" s="45">
        <f t="shared" si="9"/>
        <v>-7092.4730468750004</v>
      </c>
      <c r="O268" s="21"/>
    </row>
    <row r="269" spans="1:15" x14ac:dyDescent="0.2">
      <c r="A269" s="13">
        <v>267</v>
      </c>
      <c r="B269" s="13" t="s">
        <v>663</v>
      </c>
      <c r="C269" s="14">
        <v>45953</v>
      </c>
      <c r="D269" s="15"/>
      <c r="E269" s="13" t="s">
        <v>368</v>
      </c>
      <c r="F269" s="13" t="s">
        <v>369</v>
      </c>
      <c r="G269" s="13" t="s">
        <v>370</v>
      </c>
      <c r="H269" s="13" t="s">
        <v>663</v>
      </c>
      <c r="I269" s="15"/>
      <c r="J269" s="44">
        <v>10920966</v>
      </c>
      <c r="K269" s="44">
        <f t="shared" si="8"/>
        <v>-10920966</v>
      </c>
      <c r="L269" s="44">
        <f>IF(I269=0,0,I269/LOOKUP(C269,Settings!$F$5:$F$20,Settings!$G$5:$G$20))</f>
        <v>0</v>
      </c>
      <c r="M269" s="44">
        <f>IF(J269=0,0,J269/LOOKUP(C269,Settings!$F$5:$F$20,Settings!$G$5:$G$20))</f>
        <v>853.20046875000003</v>
      </c>
      <c r="N269" s="44">
        <f t="shared" si="9"/>
        <v>-853.20046875000003</v>
      </c>
      <c r="O269" s="15"/>
    </row>
    <row r="270" spans="1:15" x14ac:dyDescent="0.2">
      <c r="A270" s="19">
        <v>268</v>
      </c>
      <c r="B270" s="19" t="s">
        <v>664</v>
      </c>
      <c r="C270" s="20">
        <v>45958</v>
      </c>
      <c r="D270" s="21"/>
      <c r="E270" s="19" t="s">
        <v>384</v>
      </c>
      <c r="F270" s="19" t="s">
        <v>382</v>
      </c>
      <c r="G270" s="19" t="s">
        <v>382</v>
      </c>
      <c r="H270" s="19" t="s">
        <v>664</v>
      </c>
      <c r="I270" s="21"/>
      <c r="J270" s="45">
        <v>357000000</v>
      </c>
      <c r="K270" s="45">
        <f t="shared" si="8"/>
        <v>-357000000</v>
      </c>
      <c r="L270" s="45">
        <f>IF(I270=0,0,I270/LOOKUP(C270,Settings!$F$5:$F$20,Settings!$G$5:$G$20))</f>
        <v>0</v>
      </c>
      <c r="M270" s="45">
        <f>IF(J270=0,0,J270/LOOKUP(C270,Settings!$F$5:$F$20,Settings!$G$5:$G$20))</f>
        <v>27890.625</v>
      </c>
      <c r="N270" s="45">
        <f t="shared" si="9"/>
        <v>-27890.625</v>
      </c>
      <c r="O270" s="19" t="s">
        <v>385</v>
      </c>
    </row>
    <row r="271" spans="1:15" x14ac:dyDescent="0.2">
      <c r="A271" s="13">
        <v>269</v>
      </c>
      <c r="B271" s="13" t="s">
        <v>665</v>
      </c>
      <c r="C271" s="14">
        <v>45958</v>
      </c>
      <c r="D271" s="15"/>
      <c r="E271" s="13" t="s">
        <v>387</v>
      </c>
      <c r="F271" s="13" t="s">
        <v>382</v>
      </c>
      <c r="G271" s="13" t="s">
        <v>222</v>
      </c>
      <c r="H271" s="13" t="s">
        <v>665</v>
      </c>
      <c r="I271" s="15"/>
      <c r="J271" s="44">
        <v>38705255</v>
      </c>
      <c r="K271" s="44">
        <f t="shared" si="8"/>
        <v>-38705255</v>
      </c>
      <c r="L271" s="44">
        <f>IF(I271=0,0,I271/LOOKUP(C271,Settings!$F$5:$F$20,Settings!$G$5:$G$20))</f>
        <v>0</v>
      </c>
      <c r="M271" s="44">
        <f>IF(J271=0,0,J271/LOOKUP(C271,Settings!$F$5:$F$20,Settings!$G$5:$G$20))</f>
        <v>3023.8480468749999</v>
      </c>
      <c r="N271" s="44">
        <f t="shared" si="9"/>
        <v>-3023.8480468749999</v>
      </c>
      <c r="O271" s="15"/>
    </row>
    <row r="272" spans="1:15" x14ac:dyDescent="0.2">
      <c r="A272" s="19">
        <v>270</v>
      </c>
      <c r="B272" s="19" t="s">
        <v>666</v>
      </c>
      <c r="C272" s="20">
        <v>45971</v>
      </c>
      <c r="D272" s="21"/>
      <c r="E272" s="19" t="s">
        <v>372</v>
      </c>
      <c r="F272" s="19" t="s">
        <v>365</v>
      </c>
      <c r="G272" s="19" t="s">
        <v>365</v>
      </c>
      <c r="H272" s="19" t="s">
        <v>666</v>
      </c>
      <c r="I272" s="21"/>
      <c r="J272" s="45">
        <v>15000000</v>
      </c>
      <c r="K272" s="45">
        <f t="shared" si="8"/>
        <v>-15000000</v>
      </c>
      <c r="L272" s="45">
        <f>IF(I272=0,0,I272/LOOKUP(C272,Settings!$F$5:$F$20,Settings!$G$5:$G$20))</f>
        <v>0</v>
      </c>
      <c r="M272" s="45">
        <f>IF(J272=0,0,J272/LOOKUP(C272,Settings!$F$5:$F$20,Settings!$G$5:$G$20))</f>
        <v>1171.875</v>
      </c>
      <c r="N272" s="45">
        <f t="shared" si="9"/>
        <v>-1171.875</v>
      </c>
      <c r="O272" s="21"/>
    </row>
    <row r="273" spans="1:15" x14ac:dyDescent="0.2">
      <c r="A273" s="13">
        <v>271</v>
      </c>
      <c r="B273" s="13" t="s">
        <v>667</v>
      </c>
      <c r="C273" s="14">
        <v>45976</v>
      </c>
      <c r="D273" s="15"/>
      <c r="E273" s="13" t="s">
        <v>374</v>
      </c>
      <c r="F273" s="13" t="s">
        <v>365</v>
      </c>
      <c r="G273" s="13" t="s">
        <v>365</v>
      </c>
      <c r="H273" s="13" t="s">
        <v>667</v>
      </c>
      <c r="I273" s="15"/>
      <c r="J273" s="44">
        <v>7172339</v>
      </c>
      <c r="K273" s="44">
        <f t="shared" si="8"/>
        <v>-7172339</v>
      </c>
      <c r="L273" s="44">
        <f>IF(I273=0,0,I273/LOOKUP(C273,Settings!$F$5:$F$20,Settings!$G$5:$G$20))</f>
        <v>0</v>
      </c>
      <c r="M273" s="44">
        <f>IF(J273=0,0,J273/LOOKUP(C273,Settings!$F$5:$F$20,Settings!$G$5:$G$20))</f>
        <v>560.338984375</v>
      </c>
      <c r="N273" s="44">
        <f t="shared" si="9"/>
        <v>-560.338984375</v>
      </c>
      <c r="O273" s="15"/>
    </row>
    <row r="274" spans="1:15" x14ac:dyDescent="0.2">
      <c r="A274" s="19">
        <v>272</v>
      </c>
      <c r="B274" s="19" t="s">
        <v>668</v>
      </c>
      <c r="C274" s="20">
        <v>45976</v>
      </c>
      <c r="D274" s="21"/>
      <c r="E274" s="19" t="s">
        <v>376</v>
      </c>
      <c r="F274" s="19" t="s">
        <v>365</v>
      </c>
      <c r="G274" s="19" t="s">
        <v>365</v>
      </c>
      <c r="H274" s="19" t="s">
        <v>668</v>
      </c>
      <c r="I274" s="21"/>
      <c r="J274" s="45">
        <v>5926734</v>
      </c>
      <c r="K274" s="45">
        <f t="shared" si="8"/>
        <v>-5926734</v>
      </c>
      <c r="L274" s="45">
        <f>IF(I274=0,0,I274/LOOKUP(C274,Settings!$F$5:$F$20,Settings!$G$5:$G$20))</f>
        <v>0</v>
      </c>
      <c r="M274" s="45">
        <f>IF(J274=0,0,J274/LOOKUP(C274,Settings!$F$5:$F$20,Settings!$G$5:$G$20))</f>
        <v>463.02609374999997</v>
      </c>
      <c r="N274" s="45">
        <f t="shared" si="9"/>
        <v>-463.02609374999997</v>
      </c>
      <c r="O274" s="21"/>
    </row>
    <row r="275" spans="1:15" x14ac:dyDescent="0.2">
      <c r="A275" s="13">
        <v>273</v>
      </c>
      <c r="B275" s="13" t="s">
        <v>669</v>
      </c>
      <c r="C275" s="14">
        <v>45981</v>
      </c>
      <c r="D275" s="13" t="s">
        <v>670</v>
      </c>
      <c r="E275" s="15"/>
      <c r="F275" s="13" t="s">
        <v>224</v>
      </c>
      <c r="G275" s="13" t="s">
        <v>222</v>
      </c>
      <c r="H275" s="13" t="s">
        <v>187</v>
      </c>
      <c r="I275" s="15"/>
      <c r="J275" s="44">
        <v>65785312</v>
      </c>
      <c r="K275" s="44">
        <f t="shared" si="8"/>
        <v>-65785312</v>
      </c>
      <c r="L275" s="44">
        <f>IF(I275=0,0,I275/LOOKUP(C275,Settings!$F$5:$F$20,Settings!$G$5:$G$20))</f>
        <v>0</v>
      </c>
      <c r="M275" s="44">
        <f>IF(J275=0,0,J275/LOOKUP(C275,Settings!$F$5:$F$20,Settings!$G$5:$G$20))</f>
        <v>5139.4775</v>
      </c>
      <c r="N275" s="44">
        <f t="shared" si="9"/>
        <v>-5139.4775</v>
      </c>
      <c r="O275" s="13" t="s">
        <v>379</v>
      </c>
    </row>
    <row r="276" spans="1:15" x14ac:dyDescent="0.2">
      <c r="A276" s="19">
        <v>274</v>
      </c>
      <c r="B276" s="19" t="s">
        <v>671</v>
      </c>
      <c r="C276" s="20">
        <v>45981</v>
      </c>
      <c r="D276" s="21"/>
      <c r="E276" s="19" t="s">
        <v>381</v>
      </c>
      <c r="F276" s="19" t="s">
        <v>382</v>
      </c>
      <c r="G276" s="19" t="s">
        <v>382</v>
      </c>
      <c r="H276" s="19" t="s">
        <v>671</v>
      </c>
      <c r="I276" s="21"/>
      <c r="J276" s="45">
        <v>84076552</v>
      </c>
      <c r="K276" s="45">
        <f t="shared" si="8"/>
        <v>-84076552</v>
      </c>
      <c r="L276" s="45">
        <f>IF(I276=0,0,I276/LOOKUP(C276,Settings!$F$5:$F$20,Settings!$G$5:$G$20))</f>
        <v>0</v>
      </c>
      <c r="M276" s="45">
        <f>IF(J276=0,0,J276/LOOKUP(C276,Settings!$F$5:$F$20,Settings!$G$5:$G$20))</f>
        <v>6568.4806250000001</v>
      </c>
      <c r="N276" s="45">
        <f t="shared" si="9"/>
        <v>-6568.4806250000001</v>
      </c>
      <c r="O276" s="21"/>
    </row>
    <row r="277" spans="1:15" x14ac:dyDescent="0.2">
      <c r="A277" s="13">
        <v>275</v>
      </c>
      <c r="B277" s="13" t="s">
        <v>672</v>
      </c>
      <c r="C277" s="14">
        <v>45989</v>
      </c>
      <c r="D277" s="15"/>
      <c r="E277" s="13" t="s">
        <v>384</v>
      </c>
      <c r="F277" s="13" t="s">
        <v>382</v>
      </c>
      <c r="G277" s="13" t="s">
        <v>382</v>
      </c>
      <c r="H277" s="13" t="s">
        <v>672</v>
      </c>
      <c r="I277" s="15"/>
      <c r="J277" s="44">
        <v>357000000</v>
      </c>
      <c r="K277" s="44">
        <f t="shared" si="8"/>
        <v>-357000000</v>
      </c>
      <c r="L277" s="44">
        <f>IF(I277=0,0,I277/LOOKUP(C277,Settings!$F$5:$F$20,Settings!$G$5:$G$20))</f>
        <v>0</v>
      </c>
      <c r="M277" s="44">
        <f>IF(J277=0,0,J277/LOOKUP(C277,Settings!$F$5:$F$20,Settings!$G$5:$G$20))</f>
        <v>27890.625</v>
      </c>
      <c r="N277" s="44">
        <f t="shared" si="9"/>
        <v>-27890.625</v>
      </c>
      <c r="O277" s="13" t="s">
        <v>385</v>
      </c>
    </row>
    <row r="278" spans="1:15" x14ac:dyDescent="0.2">
      <c r="A278" s="19">
        <v>276</v>
      </c>
      <c r="B278" s="19" t="s">
        <v>673</v>
      </c>
      <c r="C278" s="20">
        <v>45989</v>
      </c>
      <c r="D278" s="21"/>
      <c r="E278" s="19" t="s">
        <v>387</v>
      </c>
      <c r="F278" s="19" t="s">
        <v>382</v>
      </c>
      <c r="G278" s="19" t="s">
        <v>222</v>
      </c>
      <c r="H278" s="19" t="s">
        <v>673</v>
      </c>
      <c r="I278" s="21"/>
      <c r="J278" s="45">
        <v>39007097</v>
      </c>
      <c r="K278" s="45">
        <f t="shared" si="8"/>
        <v>-39007097</v>
      </c>
      <c r="L278" s="45">
        <f>IF(I278=0,0,I278/LOOKUP(C278,Settings!$F$5:$F$20,Settings!$G$5:$G$20))</f>
        <v>0</v>
      </c>
      <c r="M278" s="45">
        <f>IF(J278=0,0,J278/LOOKUP(C278,Settings!$F$5:$F$20,Settings!$G$5:$G$20))</f>
        <v>3047.4294531249998</v>
      </c>
      <c r="N278" s="45">
        <f t="shared" si="9"/>
        <v>-3047.4294531249998</v>
      </c>
      <c r="O278" s="21"/>
    </row>
    <row r="279" spans="1:15" x14ac:dyDescent="0.2">
      <c r="A279" s="13">
        <v>277</v>
      </c>
      <c r="B279" s="13" t="s">
        <v>674</v>
      </c>
      <c r="C279" s="14">
        <v>46001</v>
      </c>
      <c r="D279" s="15"/>
      <c r="E279" s="13" t="s">
        <v>372</v>
      </c>
      <c r="F279" s="13" t="s">
        <v>365</v>
      </c>
      <c r="G279" s="13" t="s">
        <v>365</v>
      </c>
      <c r="H279" s="13" t="s">
        <v>674</v>
      </c>
      <c r="I279" s="15"/>
      <c r="J279" s="44">
        <v>15000000</v>
      </c>
      <c r="K279" s="44">
        <f t="shared" si="8"/>
        <v>-15000000</v>
      </c>
      <c r="L279" s="44">
        <f>IF(I279=0,0,I279/LOOKUP(C279,Settings!$F$5:$F$20,Settings!$G$5:$G$20))</f>
        <v>0</v>
      </c>
      <c r="M279" s="44">
        <f>IF(J279=0,0,J279/LOOKUP(C279,Settings!$F$5:$F$20,Settings!$G$5:$G$20))</f>
        <v>1171.875</v>
      </c>
      <c r="N279" s="44">
        <f t="shared" si="9"/>
        <v>-1171.875</v>
      </c>
      <c r="O279" s="15"/>
    </row>
    <row r="280" spans="1:15" x14ac:dyDescent="0.2">
      <c r="A280" s="19">
        <v>278</v>
      </c>
      <c r="B280" s="19" t="s">
        <v>675</v>
      </c>
      <c r="C280" s="20">
        <v>46006</v>
      </c>
      <c r="D280" s="21"/>
      <c r="E280" s="19" t="s">
        <v>374</v>
      </c>
      <c r="F280" s="19" t="s">
        <v>365</v>
      </c>
      <c r="G280" s="19" t="s">
        <v>365</v>
      </c>
      <c r="H280" s="19" t="s">
        <v>675</v>
      </c>
      <c r="I280" s="21"/>
      <c r="J280" s="45">
        <v>7834158</v>
      </c>
      <c r="K280" s="45">
        <f t="shared" si="8"/>
        <v>-7834158</v>
      </c>
      <c r="L280" s="45">
        <f>IF(I280=0,0,I280/LOOKUP(C280,Settings!$F$5:$F$20,Settings!$G$5:$G$20))</f>
        <v>0</v>
      </c>
      <c r="M280" s="45">
        <f>IF(J280=0,0,J280/LOOKUP(C280,Settings!$F$5:$F$20,Settings!$G$5:$G$20))</f>
        <v>612.04359375000001</v>
      </c>
      <c r="N280" s="45">
        <f t="shared" si="9"/>
        <v>-612.04359375000001</v>
      </c>
      <c r="O280" s="21"/>
    </row>
    <row r="281" spans="1:15" x14ac:dyDescent="0.2">
      <c r="A281" s="13">
        <v>279</v>
      </c>
      <c r="B281" s="13" t="s">
        <v>676</v>
      </c>
      <c r="C281" s="14">
        <v>46006</v>
      </c>
      <c r="D281" s="15"/>
      <c r="E281" s="13" t="s">
        <v>376</v>
      </c>
      <c r="F281" s="13" t="s">
        <v>365</v>
      </c>
      <c r="G281" s="13" t="s">
        <v>365</v>
      </c>
      <c r="H281" s="13" t="s">
        <v>676</v>
      </c>
      <c r="I281" s="15"/>
      <c r="J281" s="44">
        <v>5209147</v>
      </c>
      <c r="K281" s="44">
        <f t="shared" si="8"/>
        <v>-5209147</v>
      </c>
      <c r="L281" s="44">
        <f>IF(I281=0,0,I281/LOOKUP(C281,Settings!$F$5:$F$20,Settings!$G$5:$G$20))</f>
        <v>0</v>
      </c>
      <c r="M281" s="44">
        <f>IF(J281=0,0,J281/LOOKUP(C281,Settings!$F$5:$F$20,Settings!$G$5:$G$20))</f>
        <v>406.96460937500001</v>
      </c>
      <c r="N281" s="44">
        <f t="shared" si="9"/>
        <v>-406.96460937500001</v>
      </c>
      <c r="O281" s="15"/>
    </row>
    <row r="282" spans="1:15" x14ac:dyDescent="0.2">
      <c r="A282" s="19">
        <v>280</v>
      </c>
      <c r="B282" s="19" t="s">
        <v>677</v>
      </c>
      <c r="C282" s="20">
        <v>46011</v>
      </c>
      <c r="D282" s="21"/>
      <c r="E282" s="19" t="s">
        <v>381</v>
      </c>
      <c r="F282" s="19" t="s">
        <v>382</v>
      </c>
      <c r="G282" s="19" t="s">
        <v>382</v>
      </c>
      <c r="H282" s="19" t="s">
        <v>677</v>
      </c>
      <c r="I282" s="21"/>
      <c r="J282" s="45">
        <v>77407480</v>
      </c>
      <c r="K282" s="45">
        <f t="shared" si="8"/>
        <v>-77407480</v>
      </c>
      <c r="L282" s="45">
        <f>IF(I282=0,0,I282/LOOKUP(C282,Settings!$F$5:$F$20,Settings!$G$5:$G$20))</f>
        <v>0</v>
      </c>
      <c r="M282" s="45">
        <f>IF(J282=0,0,J282/LOOKUP(C282,Settings!$F$5:$F$20,Settings!$G$5:$G$20))</f>
        <v>6047.4593750000004</v>
      </c>
      <c r="N282" s="45">
        <f t="shared" si="9"/>
        <v>-6047.4593750000004</v>
      </c>
      <c r="O282" s="21"/>
    </row>
    <row r="283" spans="1:15" x14ac:dyDescent="0.2">
      <c r="A283" s="13">
        <v>281</v>
      </c>
      <c r="B283" s="13" t="s">
        <v>678</v>
      </c>
      <c r="C283" s="14">
        <v>46019</v>
      </c>
      <c r="D283" s="15"/>
      <c r="E283" s="13" t="s">
        <v>384</v>
      </c>
      <c r="F283" s="13" t="s">
        <v>382</v>
      </c>
      <c r="G283" s="13" t="s">
        <v>382</v>
      </c>
      <c r="H283" s="13" t="s">
        <v>678</v>
      </c>
      <c r="I283" s="15"/>
      <c r="J283" s="44">
        <v>357000000</v>
      </c>
      <c r="K283" s="44">
        <f t="shared" si="8"/>
        <v>-357000000</v>
      </c>
      <c r="L283" s="44">
        <f>IF(I283=0,0,I283/LOOKUP(C283,Settings!$F$5:$F$20,Settings!$G$5:$G$20))</f>
        <v>0</v>
      </c>
      <c r="M283" s="44">
        <f>IF(J283=0,0,J283/LOOKUP(C283,Settings!$F$5:$F$20,Settings!$G$5:$G$20))</f>
        <v>27890.625</v>
      </c>
      <c r="N283" s="44">
        <f t="shared" si="9"/>
        <v>-27890.625</v>
      </c>
      <c r="O283" s="13" t="s">
        <v>385</v>
      </c>
    </row>
    <row r="284" spans="1:15" x14ac:dyDescent="0.2">
      <c r="A284" s="19">
        <v>282</v>
      </c>
      <c r="B284" s="19" t="s">
        <v>679</v>
      </c>
      <c r="C284" s="20">
        <v>46019</v>
      </c>
      <c r="D284" s="21"/>
      <c r="E284" s="19" t="s">
        <v>387</v>
      </c>
      <c r="F284" s="19" t="s">
        <v>382</v>
      </c>
      <c r="G284" s="19" t="s">
        <v>222</v>
      </c>
      <c r="H284" s="19" t="s">
        <v>679</v>
      </c>
      <c r="I284" s="21"/>
      <c r="J284" s="45">
        <v>56062838</v>
      </c>
      <c r="K284" s="45">
        <f t="shared" si="8"/>
        <v>-56062838</v>
      </c>
      <c r="L284" s="45">
        <f>IF(I284=0,0,I284/LOOKUP(C284,Settings!$F$5:$F$20,Settings!$G$5:$G$20))</f>
        <v>0</v>
      </c>
      <c r="M284" s="45">
        <f>IF(J284=0,0,J284/LOOKUP(C284,Settings!$F$5:$F$20,Settings!$G$5:$G$20))</f>
        <v>4379.90921875</v>
      </c>
      <c r="N284" s="45">
        <f t="shared" si="9"/>
        <v>-4379.90921875</v>
      </c>
      <c r="O284" s="21"/>
    </row>
    <row r="285" spans="1:15" x14ac:dyDescent="0.2">
      <c r="K285" s="46">
        <f t="shared" si="8"/>
        <v>0</v>
      </c>
      <c r="L285" s="46">
        <f>IF(I285=0,0,I285/LOOKUP(C285,Settings!$F$5:$F$20,Settings!$G$5:$G$20))</f>
        <v>0</v>
      </c>
      <c r="M285" s="46">
        <f>IF(J285=0,0,J285/LOOKUP(C285,Settings!$F$5:$F$20,Settings!$G$5:$G$20))</f>
        <v>0</v>
      </c>
      <c r="N285" s="46">
        <f t="shared" si="9"/>
        <v>0</v>
      </c>
    </row>
    <row r="286" spans="1:15" x14ac:dyDescent="0.2">
      <c r="K286" s="46">
        <f t="shared" si="8"/>
        <v>0</v>
      </c>
      <c r="L286" s="46">
        <f>IF(I286=0,0,I286/LOOKUP(C286,Settings!$F$5:$F$20,Settings!$G$5:$G$20))</f>
        <v>0</v>
      </c>
      <c r="M286" s="46">
        <f>IF(J286=0,0,J286/LOOKUP(C286,Settings!$F$5:$F$20,Settings!$G$5:$G$20))</f>
        <v>0</v>
      </c>
      <c r="N286" s="46">
        <f t="shared" si="9"/>
        <v>0</v>
      </c>
    </row>
    <row r="287" spans="1:15" x14ac:dyDescent="0.2">
      <c r="K287" s="46">
        <f t="shared" si="8"/>
        <v>0</v>
      </c>
      <c r="L287" s="46">
        <f>IF(I287=0,0,I287/LOOKUP(C287,Settings!$F$5:$F$20,Settings!$G$5:$G$20))</f>
        <v>0</v>
      </c>
      <c r="M287" s="46">
        <f>IF(J287=0,0,J287/LOOKUP(C287,Settings!$F$5:$F$20,Settings!$G$5:$G$20))</f>
        <v>0</v>
      </c>
      <c r="N287" s="46">
        <f t="shared" si="9"/>
        <v>0</v>
      </c>
    </row>
    <row r="288" spans="1:15" x14ac:dyDescent="0.2">
      <c r="K288" s="46">
        <f t="shared" si="8"/>
        <v>0</v>
      </c>
      <c r="L288" s="46">
        <f>IF(I288=0,0,I288/LOOKUP(C288,Settings!$F$5:$F$20,Settings!$G$5:$G$20))</f>
        <v>0</v>
      </c>
      <c r="M288" s="46">
        <f>IF(J288=0,0,J288/LOOKUP(C288,Settings!$F$5:$F$20,Settings!$G$5:$G$20))</f>
        <v>0</v>
      </c>
      <c r="N288" s="46">
        <f t="shared" si="9"/>
        <v>0</v>
      </c>
    </row>
    <row r="289" spans="11:14" x14ac:dyDescent="0.2">
      <c r="K289" s="46">
        <f t="shared" si="8"/>
        <v>0</v>
      </c>
      <c r="L289" s="46">
        <f>IF(I289=0,0,I289/LOOKUP(C289,Settings!$F$5:$F$20,Settings!$G$5:$G$20))</f>
        <v>0</v>
      </c>
      <c r="M289" s="46">
        <f>IF(J289=0,0,J289/LOOKUP(C289,Settings!$F$5:$F$20,Settings!$G$5:$G$20))</f>
        <v>0</v>
      </c>
      <c r="N289" s="46">
        <f t="shared" si="9"/>
        <v>0</v>
      </c>
    </row>
    <row r="290" spans="11:14" x14ac:dyDescent="0.2">
      <c r="K290" s="46">
        <f t="shared" si="8"/>
        <v>0</v>
      </c>
      <c r="L290" s="46">
        <f>IF(I290=0,0,I290/LOOKUP(C290,Settings!$F$5:$F$20,Settings!$G$5:$G$20))</f>
        <v>0</v>
      </c>
      <c r="M290" s="46">
        <f>IF(J290=0,0,J290/LOOKUP(C290,Settings!$F$5:$F$20,Settings!$G$5:$G$20))</f>
        <v>0</v>
      </c>
      <c r="N290" s="46">
        <f t="shared" si="9"/>
        <v>0</v>
      </c>
    </row>
    <row r="291" spans="11:14" x14ac:dyDescent="0.2">
      <c r="K291" s="46">
        <f t="shared" si="8"/>
        <v>0</v>
      </c>
      <c r="L291" s="46">
        <f>IF(I291=0,0,I291/LOOKUP(C291,Settings!$F$5:$F$20,Settings!$G$5:$G$20))</f>
        <v>0</v>
      </c>
      <c r="M291" s="46">
        <f>IF(J291=0,0,J291/LOOKUP(C291,Settings!$F$5:$F$20,Settings!$G$5:$G$20))</f>
        <v>0</v>
      </c>
      <c r="N291" s="46">
        <f t="shared" si="9"/>
        <v>0</v>
      </c>
    </row>
    <row r="292" spans="11:14" x14ac:dyDescent="0.2">
      <c r="K292" s="46">
        <f t="shared" si="8"/>
        <v>0</v>
      </c>
      <c r="L292" s="46">
        <f>IF(I292=0,0,I292/LOOKUP(C292,Settings!$F$5:$F$20,Settings!$G$5:$G$20))</f>
        <v>0</v>
      </c>
      <c r="M292" s="46">
        <f>IF(J292=0,0,J292/LOOKUP(C292,Settings!$F$5:$F$20,Settings!$G$5:$G$20))</f>
        <v>0</v>
      </c>
      <c r="N292" s="46">
        <f t="shared" si="9"/>
        <v>0</v>
      </c>
    </row>
    <row r="293" spans="11:14" x14ac:dyDescent="0.2">
      <c r="K293" s="46">
        <f t="shared" si="8"/>
        <v>0</v>
      </c>
      <c r="L293" s="46">
        <f>IF(I293=0,0,I293/LOOKUP(C293,Settings!$F$5:$F$20,Settings!$G$5:$G$20))</f>
        <v>0</v>
      </c>
      <c r="M293" s="46">
        <f>IF(J293=0,0,J293/LOOKUP(C293,Settings!$F$5:$F$20,Settings!$G$5:$G$20))</f>
        <v>0</v>
      </c>
      <c r="N293" s="46">
        <f t="shared" si="9"/>
        <v>0</v>
      </c>
    </row>
    <row r="294" spans="11:14" x14ac:dyDescent="0.2">
      <c r="K294" s="46">
        <f t="shared" si="8"/>
        <v>0</v>
      </c>
      <c r="L294" s="46">
        <f>IF(I294=0,0,I294/LOOKUP(C294,Settings!$F$5:$F$20,Settings!$G$5:$G$20))</f>
        <v>0</v>
      </c>
      <c r="M294" s="46">
        <f>IF(J294=0,0,J294/LOOKUP(C294,Settings!$F$5:$F$20,Settings!$G$5:$G$20))</f>
        <v>0</v>
      </c>
      <c r="N294" s="46">
        <f t="shared" si="9"/>
        <v>0</v>
      </c>
    </row>
    <row r="295" spans="11:14" x14ac:dyDescent="0.2">
      <c r="K295" s="46">
        <f t="shared" si="8"/>
        <v>0</v>
      </c>
      <c r="L295" s="46">
        <f>IF(I295=0,0,I295/LOOKUP(C295,Settings!$F$5:$F$20,Settings!$G$5:$G$20))</f>
        <v>0</v>
      </c>
      <c r="M295" s="46">
        <f>IF(J295=0,0,J295/LOOKUP(C295,Settings!$F$5:$F$20,Settings!$G$5:$G$20))</f>
        <v>0</v>
      </c>
      <c r="N295" s="46">
        <f t="shared" si="9"/>
        <v>0</v>
      </c>
    </row>
    <row r="296" spans="11:14" x14ac:dyDescent="0.2">
      <c r="K296" s="46">
        <f t="shared" si="8"/>
        <v>0</v>
      </c>
      <c r="L296" s="46">
        <f>IF(I296=0,0,I296/LOOKUP(C296,Settings!$F$5:$F$20,Settings!$G$5:$G$20))</f>
        <v>0</v>
      </c>
      <c r="M296" s="46">
        <f>IF(J296=0,0,J296/LOOKUP(C296,Settings!$F$5:$F$20,Settings!$G$5:$G$20))</f>
        <v>0</v>
      </c>
      <c r="N296" s="46">
        <f t="shared" si="9"/>
        <v>0</v>
      </c>
    </row>
    <row r="297" spans="11:14" x14ac:dyDescent="0.2">
      <c r="K297" s="46">
        <f t="shared" si="8"/>
        <v>0</v>
      </c>
      <c r="L297" s="46">
        <f>IF(I297=0,0,I297/LOOKUP(C297,Settings!$F$5:$F$20,Settings!$G$5:$G$20))</f>
        <v>0</v>
      </c>
      <c r="M297" s="46">
        <f>IF(J297=0,0,J297/LOOKUP(C297,Settings!$F$5:$F$20,Settings!$G$5:$G$20))</f>
        <v>0</v>
      </c>
      <c r="N297" s="46">
        <f t="shared" si="9"/>
        <v>0</v>
      </c>
    </row>
    <row r="298" spans="11:14" x14ac:dyDescent="0.2">
      <c r="K298" s="46">
        <f t="shared" si="8"/>
        <v>0</v>
      </c>
      <c r="L298" s="46">
        <f>IF(I298=0,0,I298/LOOKUP(C298,Settings!$F$5:$F$20,Settings!$G$5:$G$20))</f>
        <v>0</v>
      </c>
      <c r="M298" s="46">
        <f>IF(J298=0,0,J298/LOOKUP(C298,Settings!$F$5:$F$20,Settings!$G$5:$G$20))</f>
        <v>0</v>
      </c>
      <c r="N298" s="46">
        <f t="shared" si="9"/>
        <v>0</v>
      </c>
    </row>
    <row r="299" spans="11:14" x14ac:dyDescent="0.2">
      <c r="K299" s="46">
        <f t="shared" si="8"/>
        <v>0</v>
      </c>
      <c r="L299" s="46">
        <f>IF(I299=0,0,I299/LOOKUP(C299,Settings!$F$5:$F$20,Settings!$G$5:$G$20))</f>
        <v>0</v>
      </c>
      <c r="M299" s="46">
        <f>IF(J299=0,0,J299/LOOKUP(C299,Settings!$F$5:$F$20,Settings!$G$5:$G$20))</f>
        <v>0</v>
      </c>
      <c r="N299" s="46">
        <f t="shared" si="9"/>
        <v>0</v>
      </c>
    </row>
    <row r="300" spans="11:14" x14ac:dyDescent="0.2">
      <c r="K300" s="46">
        <f t="shared" si="8"/>
        <v>0</v>
      </c>
      <c r="L300" s="46">
        <f>IF(I300=0,0,I300/LOOKUP(C300,Settings!$F$5:$F$20,Settings!$G$5:$G$20))</f>
        <v>0</v>
      </c>
      <c r="M300" s="46">
        <f>IF(J300=0,0,J300/LOOKUP(C300,Settings!$F$5:$F$20,Settings!$G$5:$G$20))</f>
        <v>0</v>
      </c>
      <c r="N300" s="46">
        <f t="shared" si="9"/>
        <v>0</v>
      </c>
    </row>
    <row r="301" spans="11:14" x14ac:dyDescent="0.2">
      <c r="K301" s="46">
        <f t="shared" si="8"/>
        <v>0</v>
      </c>
      <c r="L301" s="46">
        <f>IF(I301=0,0,I301/LOOKUP(C301,Settings!$F$5:$F$20,Settings!$G$5:$G$20))</f>
        <v>0</v>
      </c>
      <c r="M301" s="46">
        <f>IF(J301=0,0,J301/LOOKUP(C301,Settings!$F$5:$F$20,Settings!$G$5:$G$20))</f>
        <v>0</v>
      </c>
      <c r="N301" s="46">
        <f t="shared" si="9"/>
        <v>0</v>
      </c>
    </row>
    <row r="302" spans="11:14" x14ac:dyDescent="0.2">
      <c r="K302" s="46">
        <f t="shared" si="8"/>
        <v>0</v>
      </c>
      <c r="L302" s="46">
        <f>IF(I302=0,0,I302/LOOKUP(C302,Settings!$F$5:$F$20,Settings!$G$5:$G$20))</f>
        <v>0</v>
      </c>
      <c r="M302" s="46">
        <f>IF(J302=0,0,J302/LOOKUP(C302,Settings!$F$5:$F$20,Settings!$G$5:$G$20))</f>
        <v>0</v>
      </c>
      <c r="N302" s="46">
        <f t="shared" si="9"/>
        <v>0</v>
      </c>
    </row>
    <row r="303" spans="11:14" x14ac:dyDescent="0.2">
      <c r="K303" s="46">
        <f t="shared" si="8"/>
        <v>0</v>
      </c>
      <c r="L303" s="46">
        <f>IF(I303=0,0,I303/LOOKUP(C303,Settings!$F$5:$F$20,Settings!$G$5:$G$20))</f>
        <v>0</v>
      </c>
      <c r="M303" s="46">
        <f>IF(J303=0,0,J303/LOOKUP(C303,Settings!$F$5:$F$20,Settings!$G$5:$G$20))</f>
        <v>0</v>
      </c>
      <c r="N303" s="46">
        <f t="shared" si="9"/>
        <v>0</v>
      </c>
    </row>
    <row r="304" spans="11:14" x14ac:dyDescent="0.2">
      <c r="K304" s="46">
        <f t="shared" si="8"/>
        <v>0</v>
      </c>
      <c r="L304" s="46">
        <f>IF(I304=0,0,I304/LOOKUP(C304,Settings!$F$5:$F$20,Settings!$G$5:$G$20))</f>
        <v>0</v>
      </c>
      <c r="M304" s="46">
        <f>IF(J304=0,0,J304/LOOKUP(C304,Settings!$F$5:$F$20,Settings!$G$5:$G$20))</f>
        <v>0</v>
      </c>
      <c r="N304" s="46">
        <f t="shared" si="9"/>
        <v>0</v>
      </c>
    </row>
    <row r="305" spans="11:14" x14ac:dyDescent="0.2">
      <c r="K305" s="46">
        <f t="shared" si="8"/>
        <v>0</v>
      </c>
      <c r="L305" s="46">
        <f>IF(I305=0,0,I305/LOOKUP(C305,Settings!$F$5:$F$20,Settings!$G$5:$G$20))</f>
        <v>0</v>
      </c>
      <c r="M305" s="46">
        <f>IF(J305=0,0,J305/LOOKUP(C305,Settings!$F$5:$F$20,Settings!$G$5:$G$20))</f>
        <v>0</v>
      </c>
      <c r="N305" s="46">
        <f t="shared" si="9"/>
        <v>0</v>
      </c>
    </row>
    <row r="306" spans="11:14" x14ac:dyDescent="0.2">
      <c r="K306" s="46">
        <f t="shared" si="8"/>
        <v>0</v>
      </c>
      <c r="L306" s="46">
        <f>IF(I306=0,0,I306/LOOKUP(C306,Settings!$F$5:$F$20,Settings!$G$5:$G$20))</f>
        <v>0</v>
      </c>
      <c r="M306" s="46">
        <f>IF(J306=0,0,J306/LOOKUP(C306,Settings!$F$5:$F$20,Settings!$G$5:$G$20))</f>
        <v>0</v>
      </c>
      <c r="N306" s="46">
        <f t="shared" si="9"/>
        <v>0</v>
      </c>
    </row>
    <row r="307" spans="11:14" x14ac:dyDescent="0.2">
      <c r="K307" s="46">
        <f t="shared" si="8"/>
        <v>0</v>
      </c>
      <c r="L307" s="46">
        <f>IF(I307=0,0,I307/LOOKUP(C307,Settings!$F$5:$F$20,Settings!$G$5:$G$20))</f>
        <v>0</v>
      </c>
      <c r="M307" s="46">
        <f>IF(J307=0,0,J307/LOOKUP(C307,Settings!$F$5:$F$20,Settings!$G$5:$G$20))</f>
        <v>0</v>
      </c>
      <c r="N307" s="46">
        <f t="shared" si="9"/>
        <v>0</v>
      </c>
    </row>
    <row r="308" spans="11:14" x14ac:dyDescent="0.2">
      <c r="K308" s="46">
        <f t="shared" si="8"/>
        <v>0</v>
      </c>
      <c r="L308" s="46">
        <f>IF(I308=0,0,I308/LOOKUP(C308,Settings!$F$5:$F$20,Settings!$G$5:$G$20))</f>
        <v>0</v>
      </c>
      <c r="M308" s="46">
        <f>IF(J308=0,0,J308/LOOKUP(C308,Settings!$F$5:$F$20,Settings!$G$5:$G$20))</f>
        <v>0</v>
      </c>
      <c r="N308" s="46">
        <f t="shared" si="9"/>
        <v>0</v>
      </c>
    </row>
    <row r="309" spans="11:14" x14ac:dyDescent="0.2">
      <c r="K309" s="46">
        <f t="shared" si="8"/>
        <v>0</v>
      </c>
      <c r="L309" s="46">
        <f>IF(I309=0,0,I309/LOOKUP(C309,Settings!$F$5:$F$20,Settings!$G$5:$G$20))</f>
        <v>0</v>
      </c>
      <c r="M309" s="46">
        <f>IF(J309=0,0,J309/LOOKUP(C309,Settings!$F$5:$F$20,Settings!$G$5:$G$20))</f>
        <v>0</v>
      </c>
      <c r="N309" s="46">
        <f t="shared" si="9"/>
        <v>0</v>
      </c>
    </row>
    <row r="310" spans="11:14" x14ac:dyDescent="0.2">
      <c r="K310" s="46">
        <f t="shared" si="8"/>
        <v>0</v>
      </c>
      <c r="L310" s="46">
        <f>IF(I310=0,0,I310/LOOKUP(C310,Settings!$F$5:$F$20,Settings!$G$5:$G$20))</f>
        <v>0</v>
      </c>
      <c r="M310" s="46">
        <f>IF(J310=0,0,J310/LOOKUP(C310,Settings!$F$5:$F$20,Settings!$G$5:$G$20))</f>
        <v>0</v>
      </c>
      <c r="N310" s="46">
        <f t="shared" si="9"/>
        <v>0</v>
      </c>
    </row>
    <row r="311" spans="11:14" x14ac:dyDescent="0.2">
      <c r="K311" s="46">
        <f t="shared" si="8"/>
        <v>0</v>
      </c>
      <c r="L311" s="46">
        <f>IF(I311=0,0,I311/LOOKUP(C311,Settings!$F$5:$F$20,Settings!$G$5:$G$20))</f>
        <v>0</v>
      </c>
      <c r="M311" s="46">
        <f>IF(J311=0,0,J311/LOOKUP(C311,Settings!$F$5:$F$20,Settings!$G$5:$G$20))</f>
        <v>0</v>
      </c>
      <c r="N311" s="46">
        <f t="shared" si="9"/>
        <v>0</v>
      </c>
    </row>
    <row r="312" spans="11:14" x14ac:dyDescent="0.2">
      <c r="K312" s="46">
        <f t="shared" si="8"/>
        <v>0</v>
      </c>
      <c r="L312" s="46">
        <f>IF(I312=0,0,I312/LOOKUP(C312,Settings!$F$5:$F$20,Settings!$G$5:$G$20))</f>
        <v>0</v>
      </c>
      <c r="M312" s="46">
        <f>IF(J312=0,0,J312/LOOKUP(C312,Settings!$F$5:$F$20,Settings!$G$5:$G$20))</f>
        <v>0</v>
      </c>
      <c r="N312" s="46">
        <f t="shared" si="9"/>
        <v>0</v>
      </c>
    </row>
    <row r="313" spans="11:14" x14ac:dyDescent="0.2">
      <c r="K313" s="46">
        <f t="shared" si="8"/>
        <v>0</v>
      </c>
      <c r="L313" s="46">
        <f>IF(I313=0,0,I313/LOOKUP(C313,Settings!$F$5:$F$20,Settings!$G$5:$G$20))</f>
        <v>0</v>
      </c>
      <c r="M313" s="46">
        <f>IF(J313=0,0,J313/LOOKUP(C313,Settings!$F$5:$F$20,Settings!$G$5:$G$20))</f>
        <v>0</v>
      </c>
      <c r="N313" s="46">
        <f t="shared" si="9"/>
        <v>0</v>
      </c>
    </row>
    <row r="314" spans="11:14" x14ac:dyDescent="0.2">
      <c r="K314" s="46">
        <f t="shared" si="8"/>
        <v>0</v>
      </c>
      <c r="L314" s="46">
        <f>IF(I314=0,0,I314/LOOKUP(C314,Settings!$F$5:$F$20,Settings!$G$5:$G$20))</f>
        <v>0</v>
      </c>
      <c r="M314" s="46">
        <f>IF(J314=0,0,J314/LOOKUP(C314,Settings!$F$5:$F$20,Settings!$G$5:$G$20))</f>
        <v>0</v>
      </c>
      <c r="N314" s="46">
        <f t="shared" si="9"/>
        <v>0</v>
      </c>
    </row>
    <row r="315" spans="11:14" x14ac:dyDescent="0.2">
      <c r="L315" s="46">
        <f>IF(I315=0,0,I315/LOOKUP(C315,Settings!$F$5:$F$20,Settings!$G$5:$G$20))</f>
        <v>0</v>
      </c>
      <c r="M315" s="46">
        <f>IF(J315=0,0,J315/LOOKUP(C315,Settings!$F$5:$F$20,Settings!$G$5:$G$20))</f>
        <v>0</v>
      </c>
      <c r="N315" s="46">
        <f t="shared" si="9"/>
        <v>0</v>
      </c>
    </row>
    <row r="316" spans="11:14" x14ac:dyDescent="0.2">
      <c r="L316" s="46">
        <f>IF(I316=0,0,I316/LOOKUP(C316,Settings!$F$5:$F$20,Settings!$G$5:$G$20))</f>
        <v>0</v>
      </c>
      <c r="M316" s="46">
        <f>IF(J316=0,0,J316/LOOKUP(C316,Settings!$F$5:$F$20,Settings!$G$5:$G$20))</f>
        <v>0</v>
      </c>
      <c r="N316" s="46">
        <f t="shared" si="9"/>
        <v>0</v>
      </c>
    </row>
    <row r="317" spans="11:14" x14ac:dyDescent="0.2">
      <c r="L317" s="46">
        <f>IF(I317=0,0,I317/LOOKUP(C317,Settings!$F$5:$F$20,Settings!$G$5:$G$20))</f>
        <v>0</v>
      </c>
      <c r="M317" s="46">
        <f>IF(J317=0,0,J317/LOOKUP(C317,Settings!$F$5:$F$20,Settings!$G$5:$G$20))</f>
        <v>0</v>
      </c>
      <c r="N317" s="46">
        <f t="shared" si="9"/>
        <v>0</v>
      </c>
    </row>
    <row r="318" spans="11:14" x14ac:dyDescent="0.2">
      <c r="L318" s="46">
        <f>IF(I318=0,0,I318/LOOKUP(C318,Settings!$F$5:$F$20,Settings!$G$5:$G$20))</f>
        <v>0</v>
      </c>
      <c r="M318" s="46">
        <f>IF(J318=0,0,J318/LOOKUP(C318,Settings!$F$5:$F$20,Settings!$G$5:$G$20))</f>
        <v>0</v>
      </c>
      <c r="N318" s="46">
        <f t="shared" si="9"/>
        <v>0</v>
      </c>
    </row>
    <row r="319" spans="11:14" x14ac:dyDescent="0.2">
      <c r="L319" s="46">
        <f>IF(I319=0,0,I319/LOOKUP(C319,Settings!$F$5:$F$20,Settings!$G$5:$G$20))</f>
        <v>0</v>
      </c>
      <c r="M319" s="46">
        <f>IF(J319=0,0,J319/LOOKUP(C319,Settings!$F$5:$F$20,Settings!$G$5:$G$20))</f>
        <v>0</v>
      </c>
      <c r="N319" s="46">
        <f t="shared" si="9"/>
        <v>0</v>
      </c>
    </row>
    <row r="320" spans="11:14" x14ac:dyDescent="0.2">
      <c r="L320" s="46">
        <f>IF(I320=0,0,I320/LOOKUP(C320,Settings!$F$5:$F$20,Settings!$G$5:$G$20))</f>
        <v>0</v>
      </c>
      <c r="M320" s="46">
        <f>IF(J320=0,0,J320/LOOKUP(C320,Settings!$F$5:$F$20,Settings!$G$5:$G$20))</f>
        <v>0</v>
      </c>
      <c r="N320" s="46">
        <f t="shared" si="9"/>
        <v>0</v>
      </c>
    </row>
    <row r="321" spans="12:14" x14ac:dyDescent="0.2">
      <c r="L321" s="46">
        <f>IF(I321=0,0,I321/LOOKUP(C321,Settings!$F$5:$F$20,Settings!$G$5:$G$20))</f>
        <v>0</v>
      </c>
      <c r="M321" s="46">
        <f>IF(J321=0,0,J321/LOOKUP(C321,Settings!$F$5:$F$20,Settings!$G$5:$G$20))</f>
        <v>0</v>
      </c>
      <c r="N321" s="46">
        <f t="shared" si="9"/>
        <v>0</v>
      </c>
    </row>
    <row r="322" spans="12:14" x14ac:dyDescent="0.2">
      <c r="L322" s="46">
        <f>IF(I322=0,0,I322/LOOKUP(C322,Settings!$F$5:$F$20,Settings!$G$5:$G$20))</f>
        <v>0</v>
      </c>
      <c r="M322" s="46">
        <f>IF(J322=0,0,J322/LOOKUP(C322,Settings!$F$5:$F$20,Settings!$G$5:$G$20))</f>
        <v>0</v>
      </c>
      <c r="N322" s="46">
        <f t="shared" si="9"/>
        <v>0</v>
      </c>
    </row>
    <row r="323" spans="12:14" x14ac:dyDescent="0.2">
      <c r="L323" s="46">
        <f>IF(I323=0,0,I323/LOOKUP(C323,Settings!$F$5:$F$20,Settings!$G$5:$G$20))</f>
        <v>0</v>
      </c>
      <c r="M323" s="46">
        <f>IF(J323=0,0,J323/LOOKUP(C323,Settings!$F$5:$F$20,Settings!$G$5:$G$20))</f>
        <v>0</v>
      </c>
      <c r="N323" s="46">
        <f t="shared" ref="N323:N386" si="10">L323-M323</f>
        <v>0</v>
      </c>
    </row>
    <row r="324" spans="12:14" x14ac:dyDescent="0.2">
      <c r="L324" s="46">
        <f>IF(I324=0,0,I324/LOOKUP(C324,Settings!$F$5:$F$20,Settings!$G$5:$G$20))</f>
        <v>0</v>
      </c>
      <c r="M324" s="46">
        <f>IF(J324=0,0,J324/LOOKUP(C324,Settings!$F$5:$F$20,Settings!$G$5:$G$20))</f>
        <v>0</v>
      </c>
      <c r="N324" s="46">
        <f t="shared" si="10"/>
        <v>0</v>
      </c>
    </row>
    <row r="325" spans="12:14" x14ac:dyDescent="0.2">
      <c r="L325" s="46">
        <f>IF(I325=0,0,I325/LOOKUP(C325,Settings!$F$5:$F$20,Settings!$G$5:$G$20))</f>
        <v>0</v>
      </c>
      <c r="M325" s="46">
        <f>IF(J325=0,0,J325/LOOKUP(C325,Settings!$F$5:$F$20,Settings!$G$5:$G$20))</f>
        <v>0</v>
      </c>
      <c r="N325" s="46">
        <f t="shared" si="10"/>
        <v>0</v>
      </c>
    </row>
    <row r="326" spans="12:14" x14ac:dyDescent="0.2">
      <c r="L326" s="46">
        <f>IF(I326=0,0,I326/LOOKUP(C326,Settings!$F$5:$F$20,Settings!$G$5:$G$20))</f>
        <v>0</v>
      </c>
      <c r="M326" s="46">
        <f>IF(J326=0,0,J326/LOOKUP(C326,Settings!$F$5:$F$20,Settings!$G$5:$G$20))</f>
        <v>0</v>
      </c>
      <c r="N326" s="46">
        <f t="shared" si="10"/>
        <v>0</v>
      </c>
    </row>
    <row r="327" spans="12:14" x14ac:dyDescent="0.2">
      <c r="L327" s="46">
        <f>IF(I327=0,0,I327/LOOKUP(C327,Settings!$F$5:$F$20,Settings!$G$5:$G$20))</f>
        <v>0</v>
      </c>
      <c r="M327" s="46">
        <f>IF(J327=0,0,J327/LOOKUP(C327,Settings!$F$5:$F$20,Settings!$G$5:$G$20))</f>
        <v>0</v>
      </c>
      <c r="N327" s="46">
        <f t="shared" si="10"/>
        <v>0</v>
      </c>
    </row>
    <row r="328" spans="12:14" x14ac:dyDescent="0.2">
      <c r="L328" s="46">
        <f>IF(I328=0,0,I328/LOOKUP(C328,Settings!$F$5:$F$20,Settings!$G$5:$G$20))</f>
        <v>0</v>
      </c>
      <c r="M328" s="46">
        <f>IF(J328=0,0,J328/LOOKUP(C328,Settings!$F$5:$F$20,Settings!$G$5:$G$20))</f>
        <v>0</v>
      </c>
      <c r="N328" s="46">
        <f t="shared" si="10"/>
        <v>0</v>
      </c>
    </row>
    <row r="329" spans="12:14" x14ac:dyDescent="0.2">
      <c r="L329" s="46">
        <f>IF(I329=0,0,I329/LOOKUP(C329,Settings!$F$5:$F$20,Settings!$G$5:$G$20))</f>
        <v>0</v>
      </c>
      <c r="M329" s="46">
        <f>IF(J329=0,0,J329/LOOKUP(C329,Settings!$F$5:$F$20,Settings!$G$5:$G$20))</f>
        <v>0</v>
      </c>
      <c r="N329" s="46">
        <f t="shared" si="10"/>
        <v>0</v>
      </c>
    </row>
    <row r="330" spans="12:14" x14ac:dyDescent="0.2">
      <c r="L330" s="46">
        <f>IF(I330=0,0,I330/LOOKUP(C330,Settings!$F$5:$F$20,Settings!$G$5:$G$20))</f>
        <v>0</v>
      </c>
      <c r="M330" s="46">
        <f>IF(J330=0,0,J330/LOOKUP(C330,Settings!$F$5:$F$20,Settings!$G$5:$G$20))</f>
        <v>0</v>
      </c>
      <c r="N330" s="46">
        <f t="shared" si="10"/>
        <v>0</v>
      </c>
    </row>
    <row r="331" spans="12:14" x14ac:dyDescent="0.2">
      <c r="L331" s="46">
        <f>IF(I331=0,0,I331/LOOKUP(C331,Settings!$F$5:$F$20,Settings!$G$5:$G$20))</f>
        <v>0</v>
      </c>
      <c r="M331" s="46">
        <f>IF(J331=0,0,J331/LOOKUP(C331,Settings!$F$5:$F$20,Settings!$G$5:$G$20))</f>
        <v>0</v>
      </c>
      <c r="N331" s="46">
        <f t="shared" si="10"/>
        <v>0</v>
      </c>
    </row>
    <row r="332" spans="12:14" x14ac:dyDescent="0.2">
      <c r="L332" s="46">
        <f>IF(I332=0,0,I332/LOOKUP(C332,Settings!$F$5:$F$20,Settings!$G$5:$G$20))</f>
        <v>0</v>
      </c>
      <c r="M332" s="46">
        <f>IF(J332=0,0,J332/LOOKUP(C332,Settings!$F$5:$F$20,Settings!$G$5:$G$20))</f>
        <v>0</v>
      </c>
      <c r="N332" s="46">
        <f t="shared" si="10"/>
        <v>0</v>
      </c>
    </row>
    <row r="333" spans="12:14" x14ac:dyDescent="0.2">
      <c r="L333" s="46">
        <f>IF(I333=0,0,I333/LOOKUP(C333,Settings!$F$5:$F$20,Settings!$G$5:$G$20))</f>
        <v>0</v>
      </c>
      <c r="M333" s="46">
        <f>IF(J333=0,0,J333/LOOKUP(C333,Settings!$F$5:$F$20,Settings!$G$5:$G$20))</f>
        <v>0</v>
      </c>
      <c r="N333" s="46">
        <f t="shared" si="10"/>
        <v>0</v>
      </c>
    </row>
  </sheetData>
  <autoFilter ref="A2:O284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B7355"/>
  </sheetPr>
  <dimension ref="A1:G41"/>
  <sheetViews>
    <sheetView zoomScaleNormal="100" workbookViewId="0"/>
  </sheetViews>
  <sheetFormatPr baseColWidth="10" defaultColWidth="8.6640625" defaultRowHeight="15" x14ac:dyDescent="0.2"/>
  <cols>
    <col min="1" max="1" width="32.83203125" bestFit="1" customWidth="1"/>
    <col min="2" max="2" width="16.83203125" bestFit="1" customWidth="1"/>
    <col min="3" max="3" width="20" bestFit="1" customWidth="1"/>
    <col min="4" max="4" width="50" customWidth="1"/>
    <col min="6" max="6" width="16" customWidth="1"/>
    <col min="7" max="7" width="18" customWidth="1"/>
  </cols>
  <sheetData>
    <row r="1" spans="1:7" ht="21" x14ac:dyDescent="0.25">
      <c r="A1" s="47" t="s">
        <v>680</v>
      </c>
    </row>
    <row r="2" spans="1:7" ht="16" x14ac:dyDescent="0.2">
      <c r="F2" s="48" t="s">
        <v>681</v>
      </c>
    </row>
    <row r="3" spans="1:7" ht="16" x14ac:dyDescent="0.2">
      <c r="A3" s="49" t="s">
        <v>682</v>
      </c>
      <c r="F3" s="50" t="s">
        <v>683</v>
      </c>
    </row>
    <row r="4" spans="1:7" x14ac:dyDescent="0.2">
      <c r="A4" s="13" t="s">
        <v>684</v>
      </c>
      <c r="B4" s="51">
        <v>12850</v>
      </c>
      <c r="C4" s="13" t="s">
        <v>685</v>
      </c>
      <c r="D4" s="13" t="s">
        <v>686</v>
      </c>
      <c r="F4" s="12" t="s">
        <v>687</v>
      </c>
      <c r="G4" s="12" t="s">
        <v>688</v>
      </c>
    </row>
    <row r="5" spans="1:7" x14ac:dyDescent="0.2">
      <c r="A5" s="19" t="s">
        <v>689</v>
      </c>
      <c r="B5" s="52">
        <f ca="1">NOW()</f>
        <v>46081.494178935187</v>
      </c>
      <c r="F5" s="14">
        <v>44743</v>
      </c>
      <c r="G5" s="17">
        <v>10850</v>
      </c>
    </row>
    <row r="6" spans="1:7" x14ac:dyDescent="0.2">
      <c r="A6" s="13" t="s">
        <v>690</v>
      </c>
      <c r="B6" s="13">
        <v>22</v>
      </c>
      <c r="C6" s="13" t="s">
        <v>691</v>
      </c>
      <c r="F6" s="20">
        <v>44835</v>
      </c>
      <c r="G6" s="23">
        <v>11050</v>
      </c>
    </row>
    <row r="7" spans="1:7" x14ac:dyDescent="0.2">
      <c r="A7" s="19" t="s">
        <v>692</v>
      </c>
      <c r="B7" s="19">
        <v>8</v>
      </c>
      <c r="C7" s="19" t="s">
        <v>693</v>
      </c>
      <c r="F7" s="14">
        <v>44927</v>
      </c>
      <c r="G7" s="17">
        <v>11200</v>
      </c>
    </row>
    <row r="8" spans="1:7" x14ac:dyDescent="0.2">
      <c r="A8" s="13" t="s">
        <v>694</v>
      </c>
      <c r="B8" s="13">
        <f>B6*B7</f>
        <v>176</v>
      </c>
      <c r="C8" s="13" t="s">
        <v>693</v>
      </c>
      <c r="F8" s="20">
        <v>45017</v>
      </c>
      <c r="G8" s="23">
        <v>11350</v>
      </c>
    </row>
    <row r="9" spans="1:7" x14ac:dyDescent="0.2">
      <c r="A9" s="19" t="s">
        <v>695</v>
      </c>
      <c r="B9" s="19">
        <v>1.1499999999999999</v>
      </c>
      <c r="F9" s="14">
        <v>45108</v>
      </c>
      <c r="G9" s="17">
        <v>11500</v>
      </c>
    </row>
    <row r="10" spans="1:7" x14ac:dyDescent="0.2">
      <c r="A10" s="13" t="s">
        <v>696</v>
      </c>
      <c r="B10" s="13">
        <v>15</v>
      </c>
      <c r="C10" s="13" t="s">
        <v>697</v>
      </c>
      <c r="F10" s="20">
        <v>45200</v>
      </c>
      <c r="G10" s="23">
        <v>11700</v>
      </c>
    </row>
    <row r="11" spans="1:7" x14ac:dyDescent="0.2">
      <c r="A11" s="19" t="s">
        <v>698</v>
      </c>
      <c r="B11" s="19">
        <v>22</v>
      </c>
      <c r="C11" s="19" t="s">
        <v>697</v>
      </c>
      <c r="F11" s="14">
        <v>45292</v>
      </c>
      <c r="G11" s="17">
        <v>11900</v>
      </c>
    </row>
    <row r="12" spans="1:7" x14ac:dyDescent="0.2">
      <c r="F12" s="20">
        <v>45383</v>
      </c>
      <c r="G12" s="23">
        <v>12050</v>
      </c>
    </row>
    <row r="13" spans="1:7" x14ac:dyDescent="0.2">
      <c r="F13" s="14">
        <v>45474</v>
      </c>
      <c r="G13" s="17">
        <v>12200</v>
      </c>
    </row>
    <row r="14" spans="1:7" ht="16" x14ac:dyDescent="0.2">
      <c r="A14" s="53" t="s">
        <v>699</v>
      </c>
      <c r="B14" s="13" t="s">
        <v>700</v>
      </c>
      <c r="C14" s="13" t="s">
        <v>701</v>
      </c>
      <c r="F14" s="20">
        <v>45566</v>
      </c>
      <c r="G14" s="23">
        <v>12350</v>
      </c>
    </row>
    <row r="15" spans="1:7" x14ac:dyDescent="0.2">
      <c r="A15" s="19" t="s">
        <v>702</v>
      </c>
      <c r="B15" s="19" t="s">
        <v>703</v>
      </c>
      <c r="C15" s="19" t="s">
        <v>704</v>
      </c>
      <c r="F15" s="14">
        <v>45658</v>
      </c>
      <c r="G15" s="17">
        <v>12500</v>
      </c>
    </row>
    <row r="16" spans="1:7" x14ac:dyDescent="0.2">
      <c r="A16" s="13" t="s">
        <v>705</v>
      </c>
      <c r="B16" s="13" t="s">
        <v>706</v>
      </c>
      <c r="C16" s="13" t="s">
        <v>704</v>
      </c>
      <c r="F16" s="20">
        <v>45748</v>
      </c>
      <c r="G16" s="23">
        <v>12600</v>
      </c>
    </row>
    <row r="17" spans="1:7" x14ac:dyDescent="0.2">
      <c r="A17" s="19" t="s">
        <v>707</v>
      </c>
      <c r="B17" s="19" t="s">
        <v>708</v>
      </c>
      <c r="C17" s="19" t="s">
        <v>704</v>
      </c>
      <c r="F17" s="14">
        <v>45839</v>
      </c>
      <c r="G17" s="17">
        <v>12700</v>
      </c>
    </row>
    <row r="18" spans="1:7" x14ac:dyDescent="0.2">
      <c r="A18" s="13" t="s">
        <v>709</v>
      </c>
      <c r="B18" s="13" t="s">
        <v>710</v>
      </c>
      <c r="C18" s="13" t="s">
        <v>704</v>
      </c>
      <c r="F18" s="20">
        <v>45931</v>
      </c>
      <c r="G18" s="23">
        <v>12800</v>
      </c>
    </row>
    <row r="19" spans="1:7" x14ac:dyDescent="0.2">
      <c r="A19" s="19" t="s">
        <v>711</v>
      </c>
      <c r="B19" s="19" t="s">
        <v>712</v>
      </c>
      <c r="C19" s="19" t="s">
        <v>704</v>
      </c>
      <c r="F19" s="14">
        <v>46023</v>
      </c>
      <c r="G19" s="17">
        <v>12850</v>
      </c>
    </row>
    <row r="20" spans="1:7" x14ac:dyDescent="0.2">
      <c r="A20" s="13" t="s">
        <v>713</v>
      </c>
      <c r="B20" s="13" t="s">
        <v>714</v>
      </c>
      <c r="C20" s="13" t="s">
        <v>704</v>
      </c>
      <c r="F20" s="20">
        <v>46082</v>
      </c>
      <c r="G20" s="23">
        <v>12850</v>
      </c>
    </row>
    <row r="21" spans="1:7" x14ac:dyDescent="0.2">
      <c r="A21" s="19" t="s">
        <v>715</v>
      </c>
      <c r="B21" s="19" t="s">
        <v>716</v>
      </c>
      <c r="C21" s="19" t="s">
        <v>704</v>
      </c>
    </row>
    <row r="22" spans="1:7" x14ac:dyDescent="0.2">
      <c r="A22" s="13" t="s">
        <v>717</v>
      </c>
      <c r="B22" s="13" t="s">
        <v>718</v>
      </c>
      <c r="C22" s="13" t="s">
        <v>719</v>
      </c>
    </row>
    <row r="25" spans="1:7" ht="16" x14ac:dyDescent="0.2">
      <c r="A25" s="49" t="s">
        <v>720</v>
      </c>
      <c r="B25" s="19" t="s">
        <v>700</v>
      </c>
      <c r="D25" s="19" t="s">
        <v>721</v>
      </c>
    </row>
    <row r="26" spans="1:7" x14ac:dyDescent="0.2">
      <c r="A26" s="13" t="s">
        <v>195</v>
      </c>
      <c r="B26" s="13" t="s">
        <v>722</v>
      </c>
      <c r="D26" s="13" t="s">
        <v>202</v>
      </c>
    </row>
    <row r="27" spans="1:7" x14ac:dyDescent="0.2">
      <c r="A27" s="19" t="s">
        <v>203</v>
      </c>
      <c r="B27" s="19" t="s">
        <v>723</v>
      </c>
      <c r="D27" s="19" t="s">
        <v>28</v>
      </c>
    </row>
    <row r="28" spans="1:7" x14ac:dyDescent="0.2">
      <c r="A28" s="13" t="s">
        <v>210</v>
      </c>
      <c r="B28" s="13" t="s">
        <v>724</v>
      </c>
      <c r="D28" s="13" t="s">
        <v>213</v>
      </c>
    </row>
    <row r="29" spans="1:7" x14ac:dyDescent="0.2">
      <c r="A29" s="19" t="s">
        <v>725</v>
      </c>
      <c r="B29" s="19" t="s">
        <v>726</v>
      </c>
      <c r="D29" s="19" t="s">
        <v>727</v>
      </c>
    </row>
    <row r="30" spans="1:7" x14ac:dyDescent="0.2">
      <c r="A30" s="13" t="s">
        <v>728</v>
      </c>
      <c r="B30" s="13" t="s">
        <v>729</v>
      </c>
      <c r="D30" s="13" t="s">
        <v>223</v>
      </c>
    </row>
    <row r="31" spans="1:7" x14ac:dyDescent="0.2">
      <c r="A31" s="19" t="s">
        <v>730</v>
      </c>
      <c r="B31" s="19" t="s">
        <v>731</v>
      </c>
    </row>
    <row r="32" spans="1:7" x14ac:dyDescent="0.2">
      <c r="A32" s="13" t="s">
        <v>732</v>
      </c>
      <c r="B32" s="13" t="s">
        <v>733</v>
      </c>
      <c r="D32" s="13" t="s">
        <v>734</v>
      </c>
    </row>
    <row r="33" spans="1:4" x14ac:dyDescent="0.2">
      <c r="A33" s="19" t="s">
        <v>735</v>
      </c>
      <c r="B33" s="19" t="s">
        <v>736</v>
      </c>
      <c r="D33" s="19" t="s">
        <v>30</v>
      </c>
    </row>
    <row r="34" spans="1:4" x14ac:dyDescent="0.2">
      <c r="A34" s="13" t="s">
        <v>737</v>
      </c>
      <c r="B34" s="13" t="s">
        <v>738</v>
      </c>
      <c r="D34" s="13" t="s">
        <v>191</v>
      </c>
    </row>
    <row r="35" spans="1:4" x14ac:dyDescent="0.2">
      <c r="A35" s="19" t="s">
        <v>381</v>
      </c>
      <c r="B35" s="19" t="s">
        <v>739</v>
      </c>
      <c r="D35" s="19" t="s">
        <v>740</v>
      </c>
    </row>
    <row r="36" spans="1:4" x14ac:dyDescent="0.2">
      <c r="A36" s="13" t="s">
        <v>368</v>
      </c>
      <c r="B36" s="13" t="s">
        <v>741</v>
      </c>
      <c r="D36" s="13" t="s">
        <v>742</v>
      </c>
    </row>
    <row r="37" spans="1:4" x14ac:dyDescent="0.2">
      <c r="A37" s="19" t="s">
        <v>743</v>
      </c>
      <c r="B37" s="19" t="s">
        <v>744</v>
      </c>
    </row>
    <row r="38" spans="1:4" x14ac:dyDescent="0.2">
      <c r="A38" s="13" t="s">
        <v>745</v>
      </c>
      <c r="B38" s="13" t="s">
        <v>746</v>
      </c>
    </row>
    <row r="39" spans="1:4" x14ac:dyDescent="0.2">
      <c r="A39" s="19" t="s">
        <v>747</v>
      </c>
      <c r="B39" s="19" t="s">
        <v>748</v>
      </c>
    </row>
    <row r="40" spans="1:4" x14ac:dyDescent="0.2">
      <c r="A40" s="13" t="s">
        <v>749</v>
      </c>
      <c r="B40" s="13" t="s">
        <v>750</v>
      </c>
    </row>
    <row r="41" spans="1:4" x14ac:dyDescent="0.2">
      <c r="A41" s="19" t="s">
        <v>224</v>
      </c>
      <c r="B41" s="19" t="s">
        <v>751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C5D6"/>
  </sheetPr>
  <dimension ref="A1:R41"/>
  <sheetViews>
    <sheetView zoomScaleNormal="100" workbookViewId="0"/>
  </sheetViews>
  <sheetFormatPr baseColWidth="10" defaultColWidth="8.6640625" defaultRowHeight="15" x14ac:dyDescent="0.2"/>
  <cols>
    <col min="1" max="1" width="5" customWidth="1"/>
    <col min="2" max="2" width="22" customWidth="1"/>
    <col min="3" max="3" width="18" customWidth="1"/>
    <col min="4" max="4" width="16" customWidth="1"/>
    <col min="5" max="5" width="13" customWidth="1"/>
    <col min="6" max="6" width="14" customWidth="1"/>
    <col min="7" max="8" width="13" customWidth="1"/>
    <col min="9" max="9" width="16" customWidth="1"/>
    <col min="10" max="15" width="13" customWidth="1"/>
    <col min="16" max="16" width="18" customWidth="1"/>
    <col min="17" max="17" width="14" customWidth="1"/>
    <col min="18" max="18" width="16" customWidth="1"/>
  </cols>
  <sheetData>
    <row r="1" spans="1:18" ht="19.75" customHeight="1" x14ac:dyDescent="0.2">
      <c r="A1" s="11" t="s">
        <v>752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</row>
    <row r="3" spans="1:18" ht="28" x14ac:dyDescent="0.2">
      <c r="A3" s="12" t="s">
        <v>0</v>
      </c>
      <c r="B3" s="12" t="s">
        <v>753</v>
      </c>
      <c r="C3" s="12" t="s">
        <v>754</v>
      </c>
      <c r="D3" s="12" t="s">
        <v>755</v>
      </c>
      <c r="E3" s="12" t="s">
        <v>756</v>
      </c>
      <c r="F3" s="12" t="s">
        <v>745</v>
      </c>
      <c r="G3" s="12" t="s">
        <v>757</v>
      </c>
      <c r="H3" s="12" t="s">
        <v>758</v>
      </c>
      <c r="I3" s="12" t="s">
        <v>759</v>
      </c>
      <c r="J3" s="12" t="s">
        <v>760</v>
      </c>
      <c r="K3" s="12" t="s">
        <v>761</v>
      </c>
      <c r="L3" s="12" t="s">
        <v>762</v>
      </c>
      <c r="M3" s="12" t="s">
        <v>763</v>
      </c>
      <c r="N3" s="12" t="s">
        <v>764</v>
      </c>
      <c r="O3" s="12" t="s">
        <v>765</v>
      </c>
      <c r="P3" s="12" t="s">
        <v>701</v>
      </c>
      <c r="Q3" s="12" t="s">
        <v>766</v>
      </c>
      <c r="R3" s="12" t="s">
        <v>767</v>
      </c>
    </row>
    <row r="4" spans="1:18" x14ac:dyDescent="0.2">
      <c r="A4" s="10" t="s">
        <v>768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54"/>
      <c r="R4" s="54"/>
    </row>
    <row r="5" spans="1:18" x14ac:dyDescent="0.2">
      <c r="A5" s="13">
        <v>1</v>
      </c>
      <c r="B5" s="13" t="s">
        <v>45</v>
      </c>
      <c r="C5" s="13" t="s">
        <v>769</v>
      </c>
      <c r="D5" s="13" t="s">
        <v>770</v>
      </c>
      <c r="E5" s="44">
        <v>22000000</v>
      </c>
      <c r="F5" s="44">
        <v>4000000</v>
      </c>
      <c r="G5" s="18">
        <f>(E5+F5)*0.12</f>
        <v>3120000</v>
      </c>
      <c r="H5" s="18">
        <f>(E5+F5)*0.12</f>
        <v>3120000</v>
      </c>
      <c r="I5" s="18">
        <f>E5+F5+G5+H5</f>
        <v>32240000</v>
      </c>
      <c r="J5" s="16">
        <f>I$34/15/Settings!$B$8</f>
        <v>58946.969696969696</v>
      </c>
      <c r="K5" s="18">
        <f>'Texnika va Overhead'!F15/15</f>
        <v>3672.1380471380467</v>
      </c>
      <c r="L5" s="18">
        <f>'Texnika va Overhead'!D39</f>
        <v>0</v>
      </c>
      <c r="M5" s="16">
        <f>I5/Settings!$B$8+J5+K5+L5</f>
        <v>245800.92592592593</v>
      </c>
      <c r="N5" s="18">
        <f>M5</f>
        <v>245800.92592592593</v>
      </c>
      <c r="O5" s="55">
        <f>Settings!$B$8</f>
        <v>176</v>
      </c>
      <c r="P5" s="13" t="s">
        <v>704</v>
      </c>
      <c r="Q5" s="56">
        <f>N5/Settings!$B$4</f>
        <v>19.128476725752989</v>
      </c>
      <c r="R5" s="57">
        <f>Q5*O5</f>
        <v>3366.6119037325261</v>
      </c>
    </row>
    <row r="6" spans="1:18" x14ac:dyDescent="0.2">
      <c r="A6" s="19">
        <v>2</v>
      </c>
      <c r="B6" s="19" t="s">
        <v>369</v>
      </c>
      <c r="C6" s="19" t="s">
        <v>771</v>
      </c>
      <c r="D6" s="19" t="s">
        <v>770</v>
      </c>
      <c r="E6" s="45">
        <v>18000000</v>
      </c>
      <c r="F6" s="45">
        <v>3500000</v>
      </c>
      <c r="G6" s="24">
        <f>(E6+F6)*0.12</f>
        <v>2580000</v>
      </c>
      <c r="H6" s="24">
        <f>(E6+F6)*0.12</f>
        <v>2580000</v>
      </c>
      <c r="I6" s="24">
        <f>E6+F6+G6+H6</f>
        <v>26660000</v>
      </c>
      <c r="J6" s="22">
        <f>I$34/15/Settings!$B$8</f>
        <v>58946.969696969696</v>
      </c>
      <c r="K6" s="24">
        <f>'Texnika va Overhead'!F15/15</f>
        <v>3672.1380471380467</v>
      </c>
      <c r="L6" s="24">
        <f>'Texnika va Overhead'!D39</f>
        <v>0</v>
      </c>
      <c r="M6" s="22">
        <f>I6/Settings!$B$8+J6+K6+L6</f>
        <v>214096.38047138049</v>
      </c>
      <c r="N6" s="24">
        <f>M6</f>
        <v>214096.38047138049</v>
      </c>
      <c r="O6" s="58">
        <f>Settings!$B$8</f>
        <v>176</v>
      </c>
      <c r="P6" s="19" t="s">
        <v>704</v>
      </c>
      <c r="Q6" s="56">
        <f>N6/Settings!$B$4</f>
        <v>16.661196923842841</v>
      </c>
      <c r="R6" s="57">
        <f>Q6*O6</f>
        <v>2932.37065859634</v>
      </c>
    </row>
    <row r="7" spans="1:18" x14ac:dyDescent="0.2">
      <c r="A7" s="9" t="s">
        <v>772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54"/>
      <c r="R7" s="54"/>
    </row>
    <row r="8" spans="1:18" x14ac:dyDescent="0.2">
      <c r="A8" s="19">
        <v>3</v>
      </c>
      <c r="B8" s="19" t="s">
        <v>25</v>
      </c>
      <c r="C8" s="19" t="s">
        <v>773</v>
      </c>
      <c r="D8" s="19" t="s">
        <v>774</v>
      </c>
      <c r="E8" s="45">
        <v>25000000</v>
      </c>
      <c r="F8" s="45">
        <v>5000000</v>
      </c>
      <c r="G8" s="24">
        <f>(E8+F8)*0.12</f>
        <v>3600000</v>
      </c>
      <c r="H8" s="24">
        <f>(E8+F8)*0.12</f>
        <v>3600000</v>
      </c>
      <c r="I8" s="24">
        <f>E8+F8+G8+H8</f>
        <v>37200000</v>
      </c>
      <c r="J8" s="22">
        <f>I$34/15/Settings!$B$8</f>
        <v>58946.969696969696</v>
      </c>
      <c r="K8" s="24">
        <f>'Texnika va Overhead'!F15/15</f>
        <v>3672.1380471380467</v>
      </c>
      <c r="L8" s="24">
        <f>'Texnika va Overhead'!D39</f>
        <v>0</v>
      </c>
      <c r="M8" s="22">
        <f>I8/Settings!$B$8+J8+K8+L8</f>
        <v>273982.74410774413</v>
      </c>
      <c r="N8" s="24">
        <f>M8</f>
        <v>273982.74410774413</v>
      </c>
      <c r="O8" s="58">
        <f>Settings!$B$8</f>
        <v>176</v>
      </c>
      <c r="P8" s="19" t="s">
        <v>704</v>
      </c>
      <c r="Q8" s="56">
        <f>N8/Settings!$B$4</f>
        <v>21.321614327450906</v>
      </c>
      <c r="R8" s="57">
        <f>Q8*O8</f>
        <v>3752.6041216313592</v>
      </c>
    </row>
    <row r="9" spans="1:18" x14ac:dyDescent="0.2">
      <c r="A9" s="13">
        <v>4</v>
      </c>
      <c r="B9" s="13" t="s">
        <v>36</v>
      </c>
      <c r="C9" s="13" t="s">
        <v>775</v>
      </c>
      <c r="D9" s="13" t="s">
        <v>774</v>
      </c>
      <c r="E9" s="44">
        <v>20000000</v>
      </c>
      <c r="F9" s="44">
        <v>4000000</v>
      </c>
      <c r="G9" s="18">
        <f>(E9+F9)*0.12</f>
        <v>2880000</v>
      </c>
      <c r="H9" s="18">
        <f>(E9+F9)*0.12</f>
        <v>2880000</v>
      </c>
      <c r="I9" s="18">
        <f>E9+F9+G9+H9</f>
        <v>29760000</v>
      </c>
      <c r="J9" s="16">
        <f>I$34/15/Settings!$B$8</f>
        <v>58946.969696969696</v>
      </c>
      <c r="K9" s="18">
        <f>'Texnika va Overhead'!F15/15</f>
        <v>3672.1380471380467</v>
      </c>
      <c r="L9" s="18">
        <f>'Texnika va Overhead'!D39</f>
        <v>0</v>
      </c>
      <c r="M9" s="16">
        <f>I9/Settings!$B$8+J9+K9+L9</f>
        <v>231710.01683501684</v>
      </c>
      <c r="N9" s="18">
        <f>M9</f>
        <v>231710.01683501684</v>
      </c>
      <c r="O9" s="55">
        <f>Settings!$B$8</f>
        <v>176</v>
      </c>
      <c r="P9" s="13" t="s">
        <v>704</v>
      </c>
      <c r="Q9" s="56">
        <f>N9/Settings!$B$4</f>
        <v>18.031907924904033</v>
      </c>
      <c r="R9" s="57">
        <f>Q9*O9</f>
        <v>3173.6157947831098</v>
      </c>
    </row>
    <row r="10" spans="1:18" x14ac:dyDescent="0.2">
      <c r="A10" s="19">
        <v>5</v>
      </c>
      <c r="B10" s="19" t="s">
        <v>72</v>
      </c>
      <c r="C10" s="19" t="s">
        <v>776</v>
      </c>
      <c r="D10" s="19" t="s">
        <v>774</v>
      </c>
      <c r="E10" s="45">
        <v>15000000</v>
      </c>
      <c r="F10" s="45">
        <v>3000000</v>
      </c>
      <c r="G10" s="24">
        <f>(E10+F10)*0.12</f>
        <v>2160000</v>
      </c>
      <c r="H10" s="24">
        <f>(E10+F10)*0.12</f>
        <v>2160000</v>
      </c>
      <c r="I10" s="24">
        <f>E10+F10+G10+H10</f>
        <v>22320000</v>
      </c>
      <c r="J10" s="22">
        <f>I$34/15/Settings!$B$8</f>
        <v>58946.969696969696</v>
      </c>
      <c r="K10" s="24">
        <f>'Texnika va Overhead'!F15/15</f>
        <v>3672.1380471380467</v>
      </c>
      <c r="L10" s="24">
        <f>'Texnika va Overhead'!D39</f>
        <v>0</v>
      </c>
      <c r="M10" s="22">
        <f>I10/Settings!$B$8+J10+K10+L10</f>
        <v>189437.28956228957</v>
      </c>
      <c r="N10" s="24">
        <f>M10</f>
        <v>189437.28956228957</v>
      </c>
      <c r="O10" s="58">
        <f>Settings!$B$8</f>
        <v>176</v>
      </c>
      <c r="P10" s="19" t="s">
        <v>704</v>
      </c>
      <c r="Q10" s="56">
        <f>N10/Settings!$B$4</f>
        <v>14.742201522357165</v>
      </c>
      <c r="R10" s="57">
        <f>Q10*O10</f>
        <v>2594.6274679348612</v>
      </c>
    </row>
    <row r="11" spans="1:18" x14ac:dyDescent="0.2">
      <c r="A11" s="13">
        <v>6</v>
      </c>
      <c r="B11" s="13" t="s">
        <v>777</v>
      </c>
      <c r="C11" s="13" t="s">
        <v>776</v>
      </c>
      <c r="D11" s="13" t="s">
        <v>774</v>
      </c>
      <c r="E11" s="44">
        <v>14000000</v>
      </c>
      <c r="F11" s="44">
        <v>2500000</v>
      </c>
      <c r="G11" s="18">
        <f>(E11+F11)*0.12</f>
        <v>1980000</v>
      </c>
      <c r="H11" s="18">
        <f>(E11+F11)*0.12</f>
        <v>1980000</v>
      </c>
      <c r="I11" s="18">
        <f>E11+F11+G11+H11</f>
        <v>20460000</v>
      </c>
      <c r="J11" s="16">
        <f>I$34/15/Settings!$B$8</f>
        <v>58946.969696969696</v>
      </c>
      <c r="K11" s="18">
        <f>'Texnika va Overhead'!F15/15</f>
        <v>3672.1380471380467</v>
      </c>
      <c r="L11" s="18">
        <f>'Texnika va Overhead'!D39</f>
        <v>0</v>
      </c>
      <c r="M11" s="16">
        <f>I11/Settings!$B$8+J11+K11+L11</f>
        <v>178869.10774410775</v>
      </c>
      <c r="N11" s="18">
        <f>M11</f>
        <v>178869.10774410775</v>
      </c>
      <c r="O11" s="55">
        <f>Settings!$B$8</f>
        <v>176</v>
      </c>
      <c r="P11" s="13" t="s">
        <v>704</v>
      </c>
      <c r="Q11" s="56">
        <f>N11/Settings!$B$4</f>
        <v>13.919774921720448</v>
      </c>
      <c r="R11" s="57">
        <f>Q11*O11</f>
        <v>2449.8803862227987</v>
      </c>
    </row>
    <row r="12" spans="1:18" x14ac:dyDescent="0.2">
      <c r="A12" s="10" t="s">
        <v>778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54"/>
      <c r="R12" s="54"/>
    </row>
    <row r="13" spans="1:18" x14ac:dyDescent="0.2">
      <c r="A13" s="13">
        <v>7</v>
      </c>
      <c r="B13" s="13" t="s">
        <v>779</v>
      </c>
      <c r="C13" s="13" t="s">
        <v>780</v>
      </c>
      <c r="D13" s="13" t="s">
        <v>781</v>
      </c>
      <c r="E13" s="44">
        <v>16000000</v>
      </c>
      <c r="F13" s="44">
        <v>3000000</v>
      </c>
      <c r="G13" s="18">
        <f>(E13+F13)*0.12</f>
        <v>2280000</v>
      </c>
      <c r="H13" s="18">
        <f>(E13+F13)*0.12</f>
        <v>2280000</v>
      </c>
      <c r="I13" s="18">
        <f>E13+F13+G13+H13</f>
        <v>23560000</v>
      </c>
      <c r="J13" s="16">
        <f>I$34/15/Settings!$B$8</f>
        <v>58946.969696969696</v>
      </c>
      <c r="K13" s="18">
        <f>'Texnika va Overhead'!F15/15</f>
        <v>3672.1380471380467</v>
      </c>
      <c r="L13" s="18">
        <f>'Texnika va Overhead'!D39</f>
        <v>0</v>
      </c>
      <c r="M13" s="16">
        <f>I13/Settings!$B$8+J13+K13+L13</f>
        <v>196482.7441077441</v>
      </c>
      <c r="N13" s="18">
        <f>M13</f>
        <v>196482.7441077441</v>
      </c>
      <c r="O13" s="55">
        <f>Settings!$B$8</f>
        <v>176</v>
      </c>
      <c r="P13" s="13" t="s">
        <v>704</v>
      </c>
      <c r="Q13" s="56">
        <f>N13/Settings!$B$4</f>
        <v>15.290485922781642</v>
      </c>
      <c r="R13" s="57">
        <f>Q13*O13</f>
        <v>2691.1255224095689</v>
      </c>
    </row>
    <row r="14" spans="1:18" x14ac:dyDescent="0.2">
      <c r="A14" s="19">
        <v>8</v>
      </c>
      <c r="B14" s="19" t="s">
        <v>782</v>
      </c>
      <c r="C14" s="19" t="s">
        <v>783</v>
      </c>
      <c r="D14" s="19" t="s">
        <v>781</v>
      </c>
      <c r="E14" s="45">
        <v>15000000</v>
      </c>
      <c r="F14" s="45">
        <v>2500000</v>
      </c>
      <c r="G14" s="24">
        <f>(E14+F14)*0.12</f>
        <v>2100000</v>
      </c>
      <c r="H14" s="24">
        <f>(E14+F14)*0.12</f>
        <v>2100000</v>
      </c>
      <c r="I14" s="24">
        <f>E14+F14+G14+H14</f>
        <v>21700000</v>
      </c>
      <c r="J14" s="22">
        <f>I$34/15/Settings!$B$8</f>
        <v>58946.969696969696</v>
      </c>
      <c r="K14" s="24">
        <f>'Texnika va Overhead'!F15/15</f>
        <v>3672.1380471380467</v>
      </c>
      <c r="L14" s="24">
        <f>'Texnika va Overhead'!D39</f>
        <v>0</v>
      </c>
      <c r="M14" s="22">
        <f>I14/Settings!$B$8+J14+K14+L14</f>
        <v>185914.56228956231</v>
      </c>
      <c r="N14" s="24">
        <f>M14</f>
        <v>185914.56228956231</v>
      </c>
      <c r="O14" s="58">
        <f>Settings!$B$8</f>
        <v>176</v>
      </c>
      <c r="P14" s="19" t="s">
        <v>704</v>
      </c>
      <c r="Q14" s="56">
        <f>N14/Settings!$B$4</f>
        <v>14.468059322144926</v>
      </c>
      <c r="R14" s="57">
        <f>Q14*O14</f>
        <v>2546.3784406975069</v>
      </c>
    </row>
    <row r="15" spans="1:18" x14ac:dyDescent="0.2">
      <c r="A15" s="9" t="s">
        <v>784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54"/>
      <c r="R15" s="54"/>
    </row>
    <row r="16" spans="1:18" x14ac:dyDescent="0.2">
      <c r="A16" s="19">
        <v>9</v>
      </c>
      <c r="B16" s="19" t="s">
        <v>128</v>
      </c>
      <c r="C16" s="19" t="s">
        <v>785</v>
      </c>
      <c r="D16" s="19" t="s">
        <v>786</v>
      </c>
      <c r="E16" s="45">
        <v>16000000</v>
      </c>
      <c r="F16" s="45">
        <v>3000000</v>
      </c>
      <c r="G16" s="24">
        <f>(E16+F16)*0.12</f>
        <v>2280000</v>
      </c>
      <c r="H16" s="24">
        <f>(E16+F16)*0.12</f>
        <v>2280000</v>
      </c>
      <c r="I16" s="24">
        <f>E16+F16+G16+H16</f>
        <v>23560000</v>
      </c>
      <c r="J16" s="22">
        <f>I$34/15/Settings!$B$8</f>
        <v>58946.969696969696</v>
      </c>
      <c r="K16" s="24">
        <f>'Texnika va Overhead'!F15/15</f>
        <v>3672.1380471380467</v>
      </c>
      <c r="L16" s="24">
        <f>'Texnika va Overhead'!D39</f>
        <v>0</v>
      </c>
      <c r="M16" s="22">
        <f>I16/Settings!$B$8+J16+K16+L16</f>
        <v>196482.7441077441</v>
      </c>
      <c r="N16" s="24">
        <f>M16</f>
        <v>196482.7441077441</v>
      </c>
      <c r="O16" s="58">
        <f>Settings!$B$8</f>
        <v>176</v>
      </c>
      <c r="P16" s="19" t="s">
        <v>704</v>
      </c>
      <c r="Q16" s="56">
        <f>N16/Settings!$B$4</f>
        <v>15.290485922781642</v>
      </c>
      <c r="R16" s="57">
        <f>Q16*O16</f>
        <v>2691.1255224095689</v>
      </c>
    </row>
    <row r="17" spans="1:18" x14ac:dyDescent="0.2">
      <c r="A17" s="13">
        <v>10</v>
      </c>
      <c r="B17" s="13" t="s">
        <v>787</v>
      </c>
      <c r="C17" s="13" t="s">
        <v>788</v>
      </c>
      <c r="D17" s="13" t="s">
        <v>786</v>
      </c>
      <c r="E17" s="44">
        <v>13000000</v>
      </c>
      <c r="F17" s="44">
        <v>2000000</v>
      </c>
      <c r="G17" s="18">
        <f>(E17+F17)*0.12</f>
        <v>1800000</v>
      </c>
      <c r="H17" s="18">
        <f>(E17+F17)*0.12</f>
        <v>1800000</v>
      </c>
      <c r="I17" s="18">
        <f>E17+F17+G17+H17</f>
        <v>18600000</v>
      </c>
      <c r="J17" s="16">
        <f>I$34/15/Settings!$B$8</f>
        <v>58946.969696969696</v>
      </c>
      <c r="K17" s="18">
        <f>'Texnika va Overhead'!F15/15</f>
        <v>3672.1380471380467</v>
      </c>
      <c r="L17" s="18">
        <f>'Texnika va Overhead'!D39</f>
        <v>0</v>
      </c>
      <c r="M17" s="16">
        <f>I17/Settings!$B$8+J17+K17+L17</f>
        <v>168300.92592592593</v>
      </c>
      <c r="N17" s="18">
        <f>M17</f>
        <v>168300.92592592593</v>
      </c>
      <c r="O17" s="55">
        <f>Settings!$B$8</f>
        <v>176</v>
      </c>
      <c r="P17" s="13" t="s">
        <v>704</v>
      </c>
      <c r="Q17" s="56">
        <f>N17/Settings!$B$4</f>
        <v>13.09734832108373</v>
      </c>
      <c r="R17" s="57">
        <f>Q17*O17</f>
        <v>2305.1333045107367</v>
      </c>
    </row>
    <row r="18" spans="1:18" x14ac:dyDescent="0.2">
      <c r="A18" s="10" t="s">
        <v>789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54"/>
      <c r="R18" s="54"/>
    </row>
    <row r="19" spans="1:18" x14ac:dyDescent="0.2">
      <c r="A19" s="13">
        <v>11</v>
      </c>
      <c r="B19" s="13" t="s">
        <v>790</v>
      </c>
      <c r="C19" s="13" t="s">
        <v>791</v>
      </c>
      <c r="D19" s="13" t="s">
        <v>792</v>
      </c>
      <c r="E19" s="44">
        <v>14000000</v>
      </c>
      <c r="F19" s="44">
        <v>2500000</v>
      </c>
      <c r="G19" s="18">
        <f>(E19+F19)*0.12</f>
        <v>1980000</v>
      </c>
      <c r="H19" s="18">
        <f>(E19+F19)*0.12</f>
        <v>1980000</v>
      </c>
      <c r="I19" s="18">
        <f>E19+F19+G19+H19</f>
        <v>20460000</v>
      </c>
      <c r="J19" s="16">
        <f>I$34/15/Settings!$B$8</f>
        <v>58946.969696969696</v>
      </c>
      <c r="K19" s="18">
        <f>'Texnika va Overhead'!F15/15</f>
        <v>3672.1380471380467</v>
      </c>
      <c r="L19" s="18">
        <f>'Texnika va Overhead'!D39</f>
        <v>0</v>
      </c>
      <c r="M19" s="16">
        <f>I19/Settings!$B$8+J19+K19+L19</f>
        <v>178869.10774410775</v>
      </c>
      <c r="N19" s="18">
        <f>M19</f>
        <v>178869.10774410775</v>
      </c>
      <c r="O19" s="55">
        <f>Settings!$B$8</f>
        <v>176</v>
      </c>
      <c r="P19" s="13" t="s">
        <v>704</v>
      </c>
      <c r="Q19" s="56">
        <f>N19/Settings!$B$4</f>
        <v>13.919774921720448</v>
      </c>
      <c r="R19" s="57">
        <f>Q19*O19</f>
        <v>2449.8803862227987</v>
      </c>
    </row>
    <row r="20" spans="1:18" x14ac:dyDescent="0.2">
      <c r="A20" s="19">
        <v>12</v>
      </c>
      <c r="B20" s="19" t="s">
        <v>793</v>
      </c>
      <c r="C20" s="19" t="s">
        <v>794</v>
      </c>
      <c r="D20" s="19" t="s">
        <v>792</v>
      </c>
      <c r="E20" s="45">
        <v>12000000</v>
      </c>
      <c r="F20" s="45">
        <v>2000000</v>
      </c>
      <c r="G20" s="24">
        <f>(E20+F20)*0.12</f>
        <v>1680000</v>
      </c>
      <c r="H20" s="24">
        <f>(E20+F20)*0.12</f>
        <v>1680000</v>
      </c>
      <c r="I20" s="24">
        <f>E20+F20+G20+H20</f>
        <v>17360000</v>
      </c>
      <c r="J20" s="22">
        <f>I$34/15/Settings!$B$8</f>
        <v>58946.969696969696</v>
      </c>
      <c r="K20" s="24">
        <f>'Texnika va Overhead'!F15/15</f>
        <v>3672.1380471380467</v>
      </c>
      <c r="L20" s="24">
        <f>'Texnika va Overhead'!D39</f>
        <v>0</v>
      </c>
      <c r="M20" s="22">
        <f>I20/Settings!$B$8+J20+K20+L20</f>
        <v>161255.47138047137</v>
      </c>
      <c r="N20" s="24">
        <f>M20</f>
        <v>161255.47138047137</v>
      </c>
      <c r="O20" s="58">
        <f>Settings!$B$8</f>
        <v>176</v>
      </c>
      <c r="P20" s="19" t="s">
        <v>704</v>
      </c>
      <c r="Q20" s="56">
        <f>N20/Settings!$B$4</f>
        <v>12.54906392065925</v>
      </c>
      <c r="R20" s="57">
        <f>Q20*O20</f>
        <v>2208.6352500360281</v>
      </c>
    </row>
    <row r="21" spans="1:18" x14ac:dyDescent="0.2">
      <c r="A21" s="9" t="s">
        <v>795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54"/>
      <c r="R21" s="54"/>
    </row>
    <row r="22" spans="1:18" x14ac:dyDescent="0.2">
      <c r="A22" s="19">
        <v>13</v>
      </c>
      <c r="B22" s="19" t="s">
        <v>796</v>
      </c>
      <c r="C22" s="19" t="s">
        <v>797</v>
      </c>
      <c r="D22" s="19" t="s">
        <v>798</v>
      </c>
      <c r="E22" s="45">
        <v>16000000</v>
      </c>
      <c r="F22" s="45">
        <v>2500000</v>
      </c>
      <c r="G22" s="24">
        <f>(E22+F22)*0.12</f>
        <v>2220000</v>
      </c>
      <c r="H22" s="24">
        <f>(E22+F22)*0.12</f>
        <v>2220000</v>
      </c>
      <c r="I22" s="24">
        <f>E22+F22+G22+H22</f>
        <v>22940000</v>
      </c>
      <c r="J22" s="22">
        <f>I$34/15/Settings!$B$8</f>
        <v>58946.969696969696</v>
      </c>
      <c r="K22" s="24">
        <f>'Texnika va Overhead'!F15/15</f>
        <v>3672.1380471380467</v>
      </c>
      <c r="L22" s="24">
        <f>'Texnika va Overhead'!D39</f>
        <v>0</v>
      </c>
      <c r="M22" s="22">
        <f>I22/Settings!$B$8+J22+K22+L22</f>
        <v>192960.01683501684</v>
      </c>
      <c r="N22" s="24">
        <f>M22</f>
        <v>192960.01683501684</v>
      </c>
      <c r="O22" s="58">
        <f>Settings!$B$8</f>
        <v>176</v>
      </c>
      <c r="P22" s="19" t="s">
        <v>704</v>
      </c>
      <c r="Q22" s="56">
        <f>N22/Settings!$B$4</f>
        <v>15.016343722569404</v>
      </c>
      <c r="R22" s="57">
        <f>Q22*O22</f>
        <v>2642.8764951722151</v>
      </c>
    </row>
    <row r="23" spans="1:18" x14ac:dyDescent="0.2">
      <c r="A23" s="9" t="s">
        <v>799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54"/>
      <c r="R23" s="54"/>
    </row>
    <row r="24" spans="1:18" x14ac:dyDescent="0.2">
      <c r="A24" s="19">
        <v>14</v>
      </c>
      <c r="B24" s="19" t="s">
        <v>364</v>
      </c>
      <c r="C24" s="19" t="s">
        <v>800</v>
      </c>
      <c r="D24" s="19" t="s">
        <v>801</v>
      </c>
      <c r="E24" s="45">
        <v>18000000</v>
      </c>
      <c r="F24" s="45">
        <v>3500000</v>
      </c>
      <c r="G24" s="24">
        <f>(E24+F24)*0.12</f>
        <v>2580000</v>
      </c>
      <c r="H24" s="24">
        <f>(E24+F24)*0.12</f>
        <v>2580000</v>
      </c>
      <c r="I24" s="24">
        <f>E24+F24+G24+H24</f>
        <v>26660000</v>
      </c>
      <c r="J24" s="22">
        <f>I$34/15/Settings!$B$8</f>
        <v>58946.969696969696</v>
      </c>
      <c r="K24" s="24">
        <f>'Texnika va Overhead'!F15/15</f>
        <v>3672.1380471380467</v>
      </c>
      <c r="L24" s="24">
        <f>'Texnika va Overhead'!D39</f>
        <v>0</v>
      </c>
      <c r="M24" s="22">
        <f>I24/Settings!$B$8+J24+K24+L24</f>
        <v>214096.38047138049</v>
      </c>
      <c r="N24" s="24">
        <f>M24</f>
        <v>214096.38047138049</v>
      </c>
      <c r="O24" s="58">
        <f>Settings!$B$8</f>
        <v>176</v>
      </c>
      <c r="P24" s="19" t="s">
        <v>704</v>
      </c>
      <c r="Q24" s="56">
        <f>N24/Settings!$B$4</f>
        <v>16.661196923842841</v>
      </c>
      <c r="R24" s="57">
        <f>Q24*O24</f>
        <v>2932.37065859634</v>
      </c>
    </row>
    <row r="25" spans="1:18" x14ac:dyDescent="0.2">
      <c r="A25" s="13">
        <v>15</v>
      </c>
      <c r="B25" s="13" t="s">
        <v>802</v>
      </c>
      <c r="C25" s="13" t="s">
        <v>801</v>
      </c>
      <c r="D25" s="13" t="s">
        <v>801</v>
      </c>
      <c r="E25" s="44">
        <v>17000000</v>
      </c>
      <c r="F25" s="44">
        <v>3000000</v>
      </c>
      <c r="G25" s="18">
        <f>(E25+F25)*0.12</f>
        <v>2400000</v>
      </c>
      <c r="H25" s="18">
        <f>(E25+F25)*0.12</f>
        <v>2400000</v>
      </c>
      <c r="I25" s="18">
        <f>E25+F25+G25+H25</f>
        <v>24800000</v>
      </c>
      <c r="J25" s="16">
        <f>I$34/15/Settings!$B$8</f>
        <v>58946.969696969696</v>
      </c>
      <c r="K25" s="18">
        <f>'Texnika va Overhead'!F15/15</f>
        <v>3672.1380471380467</v>
      </c>
      <c r="L25" s="18">
        <f>'Texnika va Overhead'!D39</f>
        <v>0</v>
      </c>
      <c r="M25" s="16">
        <f>I25/Settings!$B$8+J25+K25+L25</f>
        <v>203528.19865319866</v>
      </c>
      <c r="N25" s="18">
        <f>M25</f>
        <v>203528.19865319866</v>
      </c>
      <c r="O25" s="55">
        <f>Settings!$B$8</f>
        <v>176</v>
      </c>
      <c r="P25" s="13" t="s">
        <v>704</v>
      </c>
      <c r="Q25" s="56">
        <f>N25/Settings!$B$4</f>
        <v>15.838770323206122</v>
      </c>
      <c r="R25" s="57">
        <f>Q25*O25</f>
        <v>2787.6235768842776</v>
      </c>
    </row>
    <row r="26" spans="1:18" x14ac:dyDescent="0.2">
      <c r="A26" s="10" t="s">
        <v>803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54"/>
      <c r="R26" s="54"/>
    </row>
    <row r="27" spans="1:18" x14ac:dyDescent="0.2">
      <c r="A27" s="13">
        <v>16</v>
      </c>
      <c r="B27" s="13" t="s">
        <v>804</v>
      </c>
      <c r="C27" s="13" t="s">
        <v>805</v>
      </c>
      <c r="D27" s="13" t="s">
        <v>806</v>
      </c>
      <c r="E27" s="44">
        <v>35000000</v>
      </c>
      <c r="F27" s="44">
        <v>8000000</v>
      </c>
      <c r="G27" s="18">
        <f t="shared" ref="G27:G33" si="0">(E27+F27)*0.12</f>
        <v>5160000</v>
      </c>
      <c r="H27" s="18">
        <f t="shared" ref="H27:H33" si="1">(E27+F27)*0.12</f>
        <v>5160000</v>
      </c>
      <c r="I27" s="18">
        <f t="shared" ref="I27:I33" si="2">E27+F27+G27+H27</f>
        <v>53320000</v>
      </c>
      <c r="J27" s="44">
        <v>0</v>
      </c>
      <c r="K27" s="44">
        <v>0</v>
      </c>
      <c r="L27" s="44">
        <v>0</v>
      </c>
      <c r="M27" s="44">
        <v>0</v>
      </c>
      <c r="N27" s="13" t="s">
        <v>807</v>
      </c>
      <c r="O27" s="55">
        <f>Settings!$B$8</f>
        <v>176</v>
      </c>
      <c r="P27" s="13" t="s">
        <v>806</v>
      </c>
      <c r="Q27" s="54" t="s">
        <v>807</v>
      </c>
      <c r="R27" s="54" t="s">
        <v>807</v>
      </c>
    </row>
    <row r="28" spans="1:18" x14ac:dyDescent="0.2">
      <c r="A28" s="19">
        <v>17</v>
      </c>
      <c r="B28" s="19" t="s">
        <v>382</v>
      </c>
      <c r="C28" s="19" t="s">
        <v>808</v>
      </c>
      <c r="D28" s="19" t="s">
        <v>806</v>
      </c>
      <c r="E28" s="45">
        <v>12000000</v>
      </c>
      <c r="F28" s="45">
        <v>2000000</v>
      </c>
      <c r="G28" s="24">
        <f t="shared" si="0"/>
        <v>1680000</v>
      </c>
      <c r="H28" s="24">
        <f t="shared" si="1"/>
        <v>1680000</v>
      </c>
      <c r="I28" s="24">
        <f t="shared" si="2"/>
        <v>17360000</v>
      </c>
      <c r="J28" s="45">
        <v>0</v>
      </c>
      <c r="K28" s="45">
        <v>0</v>
      </c>
      <c r="L28" s="45">
        <v>0</v>
      </c>
      <c r="M28" s="45">
        <v>0</v>
      </c>
      <c r="N28" s="19" t="s">
        <v>807</v>
      </c>
      <c r="O28" s="58">
        <f>Settings!$B$8</f>
        <v>176</v>
      </c>
      <c r="P28" s="19" t="s">
        <v>806</v>
      </c>
      <c r="Q28" s="54" t="s">
        <v>807</v>
      </c>
      <c r="R28" s="54" t="s">
        <v>807</v>
      </c>
    </row>
    <row r="29" spans="1:18" x14ac:dyDescent="0.2">
      <c r="A29" s="13">
        <v>18</v>
      </c>
      <c r="B29" s="13" t="s">
        <v>222</v>
      </c>
      <c r="C29" s="13" t="s">
        <v>809</v>
      </c>
      <c r="D29" s="13" t="s">
        <v>806</v>
      </c>
      <c r="E29" s="44">
        <v>14000000</v>
      </c>
      <c r="F29" s="44">
        <v>2500000</v>
      </c>
      <c r="G29" s="18">
        <f t="shared" si="0"/>
        <v>1980000</v>
      </c>
      <c r="H29" s="18">
        <f t="shared" si="1"/>
        <v>1980000</v>
      </c>
      <c r="I29" s="18">
        <f t="shared" si="2"/>
        <v>20460000</v>
      </c>
      <c r="J29" s="44">
        <v>0</v>
      </c>
      <c r="K29" s="44">
        <v>0</v>
      </c>
      <c r="L29" s="44">
        <v>0</v>
      </c>
      <c r="M29" s="44">
        <v>0</v>
      </c>
      <c r="N29" s="13" t="s">
        <v>807</v>
      </c>
      <c r="O29" s="55">
        <f>Settings!$B$8</f>
        <v>176</v>
      </c>
      <c r="P29" s="13" t="s">
        <v>806</v>
      </c>
      <c r="Q29" s="54" t="s">
        <v>807</v>
      </c>
      <c r="R29" s="54" t="s">
        <v>807</v>
      </c>
    </row>
    <row r="30" spans="1:18" x14ac:dyDescent="0.2">
      <c r="A30" s="19">
        <v>19</v>
      </c>
      <c r="B30" s="19" t="s">
        <v>365</v>
      </c>
      <c r="C30" s="19" t="s">
        <v>810</v>
      </c>
      <c r="D30" s="19" t="s">
        <v>806</v>
      </c>
      <c r="E30" s="45">
        <v>10000000</v>
      </c>
      <c r="F30" s="45">
        <v>1500000</v>
      </c>
      <c r="G30" s="24">
        <f t="shared" si="0"/>
        <v>1380000</v>
      </c>
      <c r="H30" s="24">
        <f t="shared" si="1"/>
        <v>1380000</v>
      </c>
      <c r="I30" s="24">
        <f t="shared" si="2"/>
        <v>14260000</v>
      </c>
      <c r="J30" s="45">
        <v>0</v>
      </c>
      <c r="K30" s="45">
        <v>0</v>
      </c>
      <c r="L30" s="45">
        <v>0</v>
      </c>
      <c r="M30" s="45">
        <v>0</v>
      </c>
      <c r="N30" s="19" t="s">
        <v>807</v>
      </c>
      <c r="O30" s="58">
        <f>Settings!$B$8</f>
        <v>176</v>
      </c>
      <c r="P30" s="19" t="s">
        <v>806</v>
      </c>
      <c r="Q30" s="54" t="s">
        <v>807</v>
      </c>
      <c r="R30" s="54" t="s">
        <v>807</v>
      </c>
    </row>
    <row r="31" spans="1:18" x14ac:dyDescent="0.2">
      <c r="A31" s="13">
        <v>20</v>
      </c>
      <c r="B31" s="13" t="s">
        <v>370</v>
      </c>
      <c r="C31" s="13" t="s">
        <v>811</v>
      </c>
      <c r="D31" s="13" t="s">
        <v>806</v>
      </c>
      <c r="E31" s="44">
        <v>12000000</v>
      </c>
      <c r="F31" s="44">
        <v>2000000</v>
      </c>
      <c r="G31" s="18">
        <f t="shared" si="0"/>
        <v>1680000</v>
      </c>
      <c r="H31" s="18">
        <f t="shared" si="1"/>
        <v>1680000</v>
      </c>
      <c r="I31" s="18">
        <f t="shared" si="2"/>
        <v>17360000</v>
      </c>
      <c r="J31" s="44">
        <v>0</v>
      </c>
      <c r="K31" s="44">
        <v>0</v>
      </c>
      <c r="L31" s="44">
        <v>0</v>
      </c>
      <c r="M31" s="44">
        <v>0</v>
      </c>
      <c r="N31" s="13" t="s">
        <v>807</v>
      </c>
      <c r="O31" s="55">
        <f>Settings!$B$8</f>
        <v>176</v>
      </c>
      <c r="P31" s="13" t="s">
        <v>806</v>
      </c>
      <c r="Q31" s="54" t="s">
        <v>807</v>
      </c>
      <c r="R31" s="54" t="s">
        <v>807</v>
      </c>
    </row>
    <row r="32" spans="1:18" x14ac:dyDescent="0.2">
      <c r="A32" s="19">
        <v>21</v>
      </c>
      <c r="B32" s="19" t="s">
        <v>812</v>
      </c>
      <c r="C32" s="19" t="s">
        <v>813</v>
      </c>
      <c r="D32" s="19" t="s">
        <v>806</v>
      </c>
      <c r="E32" s="45">
        <v>15000000</v>
      </c>
      <c r="F32" s="45">
        <v>2500000</v>
      </c>
      <c r="G32" s="24">
        <f t="shared" si="0"/>
        <v>2100000</v>
      </c>
      <c r="H32" s="24">
        <f t="shared" si="1"/>
        <v>2100000</v>
      </c>
      <c r="I32" s="24">
        <f t="shared" si="2"/>
        <v>21700000</v>
      </c>
      <c r="J32" s="45">
        <v>0</v>
      </c>
      <c r="K32" s="45">
        <v>0</v>
      </c>
      <c r="L32" s="45">
        <v>0</v>
      </c>
      <c r="M32" s="45">
        <v>0</v>
      </c>
      <c r="N32" s="19" t="s">
        <v>807</v>
      </c>
      <c r="O32" s="58">
        <f>Settings!$B$8</f>
        <v>176</v>
      </c>
      <c r="P32" s="19" t="s">
        <v>806</v>
      </c>
      <c r="Q32" s="54" t="s">
        <v>807</v>
      </c>
      <c r="R32" s="54" t="s">
        <v>807</v>
      </c>
    </row>
    <row r="33" spans="1:18" x14ac:dyDescent="0.2">
      <c r="A33" s="13">
        <v>22</v>
      </c>
      <c r="B33" s="13" t="s">
        <v>814</v>
      </c>
      <c r="C33" s="13" t="s">
        <v>815</v>
      </c>
      <c r="D33" s="13" t="s">
        <v>806</v>
      </c>
      <c r="E33" s="44">
        <v>8000000</v>
      </c>
      <c r="F33" s="44">
        <v>1000000</v>
      </c>
      <c r="G33" s="18">
        <f t="shared" si="0"/>
        <v>1080000</v>
      </c>
      <c r="H33" s="18">
        <f t="shared" si="1"/>
        <v>1080000</v>
      </c>
      <c r="I33" s="18">
        <f t="shared" si="2"/>
        <v>11160000</v>
      </c>
      <c r="J33" s="44">
        <v>0</v>
      </c>
      <c r="K33" s="44">
        <v>0</v>
      </c>
      <c r="L33" s="44">
        <v>0</v>
      </c>
      <c r="M33" s="44">
        <v>0</v>
      </c>
      <c r="N33" s="13" t="s">
        <v>807</v>
      </c>
      <c r="O33" s="55">
        <f>Settings!$B$8</f>
        <v>176</v>
      </c>
      <c r="P33" s="13" t="s">
        <v>806</v>
      </c>
      <c r="Q33" s="54" t="s">
        <v>807</v>
      </c>
      <c r="R33" s="54" t="s">
        <v>807</v>
      </c>
    </row>
    <row r="34" spans="1:18" x14ac:dyDescent="0.2">
      <c r="A34" s="19"/>
      <c r="B34" s="19" t="s">
        <v>816</v>
      </c>
      <c r="C34" s="19"/>
      <c r="D34" s="19"/>
      <c r="E34" s="19"/>
      <c r="F34" s="19"/>
      <c r="G34" s="19"/>
      <c r="H34" s="19"/>
      <c r="I34" s="24">
        <f>I27+I28+I29+I30+I31+I32+I33</f>
        <v>155620000</v>
      </c>
      <c r="J34" s="19"/>
      <c r="K34" s="19"/>
      <c r="L34" s="19"/>
      <c r="M34" s="19"/>
      <c r="N34" s="19"/>
      <c r="O34" s="19"/>
      <c r="P34" s="19"/>
      <c r="Q34" s="54"/>
      <c r="R34" s="54"/>
    </row>
    <row r="35" spans="1:18" x14ac:dyDescent="0.2">
      <c r="A35" s="13"/>
      <c r="B35" s="13" t="s">
        <v>817</v>
      </c>
      <c r="C35" s="13"/>
      <c r="D35" s="13"/>
      <c r="E35" s="13"/>
      <c r="F35" s="13"/>
      <c r="G35" s="13"/>
      <c r="H35" s="13"/>
      <c r="I35" s="18">
        <f>I27+I28+I29+I30+I31+I32+I33+I5+I6+I8+I9+I10+I11+I13+I14+I16+I17+I19+I20+I22+I24+I25</f>
        <v>523900000</v>
      </c>
      <c r="J35" s="13"/>
      <c r="K35" s="13"/>
      <c r="L35" s="13"/>
      <c r="M35" s="13"/>
      <c r="N35" s="13"/>
      <c r="O35" s="13"/>
      <c r="P35" s="13"/>
      <c r="Q35" s="54"/>
      <c r="R35" s="54"/>
    </row>
    <row r="36" spans="1:18" x14ac:dyDescent="0.2">
      <c r="A36" s="19"/>
      <c r="B36" s="19" t="s">
        <v>818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4">
        <f>AVERAGE(N5,N6,N8,N9,N10,N11,N13,N14,N16,N17,N19,N20,N22,N24,N25)</f>
        <v>202119.10774410775</v>
      </c>
      <c r="O36" s="19"/>
      <c r="P36" s="19"/>
      <c r="Q36" s="56">
        <f>N36/Settings!$B$4</f>
        <v>15.729113443121225</v>
      </c>
      <c r="R36" s="57">
        <f>Q36*O36</f>
        <v>0</v>
      </c>
    </row>
    <row r="37" spans="1:18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54"/>
      <c r="R37" s="54"/>
    </row>
    <row r="38" spans="1:18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54"/>
      <c r="R38" s="54"/>
    </row>
    <row r="39" spans="1:18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54"/>
      <c r="R39" s="54"/>
    </row>
    <row r="40" spans="1:18" x14ac:dyDescent="0.2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54"/>
      <c r="R40" s="54"/>
    </row>
    <row r="41" spans="1:18" x14ac:dyDescent="0.2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54"/>
      <c r="R41" s="54"/>
    </row>
  </sheetData>
  <autoFilter ref="A3:R41" xr:uid="{00000000-0009-0000-0000-000003000000}"/>
  <mergeCells count="9">
    <mergeCell ref="A18:P18"/>
    <mergeCell ref="A21:P21"/>
    <mergeCell ref="A23:P23"/>
    <mergeCell ref="A26:P26"/>
    <mergeCell ref="A1:R1"/>
    <mergeCell ref="A4:P4"/>
    <mergeCell ref="A7:P7"/>
    <mergeCell ref="A12:P12"/>
    <mergeCell ref="A15:P15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5B8A8"/>
  </sheetPr>
  <dimension ref="A1:G29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5" customWidth="1"/>
    <col min="2" max="2" width="28" customWidth="1"/>
    <col min="3" max="3" width="18" customWidth="1"/>
    <col min="4" max="4" width="14" customWidth="1"/>
    <col min="5" max="5" width="18" customWidth="1"/>
    <col min="6" max="6" width="13" customWidth="1"/>
    <col min="7" max="7" width="16" customWidth="1"/>
  </cols>
  <sheetData>
    <row r="1" spans="1:7" ht="19.75" customHeight="1" x14ac:dyDescent="0.2">
      <c r="A1" s="11" t="s">
        <v>819</v>
      </c>
      <c r="B1" s="11"/>
      <c r="C1" s="11"/>
      <c r="D1" s="11"/>
      <c r="E1" s="11"/>
      <c r="F1" s="11"/>
    </row>
    <row r="3" spans="1:7" x14ac:dyDescent="0.2">
      <c r="A3" t="s">
        <v>820</v>
      </c>
    </row>
    <row r="4" spans="1:7" ht="28" x14ac:dyDescent="0.2">
      <c r="A4" s="12" t="s">
        <v>0</v>
      </c>
      <c r="B4" s="12" t="s">
        <v>821</v>
      </c>
      <c r="C4" s="12" t="s">
        <v>822</v>
      </c>
      <c r="D4" s="12" t="s">
        <v>823</v>
      </c>
      <c r="E4" s="12" t="s">
        <v>824</v>
      </c>
      <c r="F4" s="12" t="s">
        <v>825</v>
      </c>
      <c r="G4" s="12" t="s">
        <v>826</v>
      </c>
    </row>
    <row r="5" spans="1:7" x14ac:dyDescent="0.2">
      <c r="A5" s="19">
        <v>1</v>
      </c>
      <c r="B5" s="19" t="s">
        <v>827</v>
      </c>
      <c r="C5" s="45">
        <v>75000000</v>
      </c>
      <c r="D5" s="19">
        <v>36</v>
      </c>
      <c r="E5" s="24">
        <f t="shared" ref="E5:E14" si="0">C5/D5</f>
        <v>2083333.3333333333</v>
      </c>
      <c r="F5" s="22">
        <f>E5/Settings!$B$8</f>
        <v>11837.121212121212</v>
      </c>
      <c r="G5" s="56">
        <f>E5/Settings!$B$4</f>
        <v>162.12710765239947</v>
      </c>
    </row>
    <row r="6" spans="1:7" x14ac:dyDescent="0.2">
      <c r="A6" s="13">
        <v>2</v>
      </c>
      <c r="B6" s="13" t="s">
        <v>828</v>
      </c>
      <c r="C6" s="44">
        <v>90000000</v>
      </c>
      <c r="D6" s="13">
        <v>36</v>
      </c>
      <c r="E6" s="18">
        <f t="shared" si="0"/>
        <v>2500000</v>
      </c>
      <c r="F6" s="16">
        <f>E6/Settings!$B$8</f>
        <v>14204.545454545454</v>
      </c>
      <c r="G6" s="56">
        <f>E6/Settings!$B$4</f>
        <v>194.55252918287937</v>
      </c>
    </row>
    <row r="7" spans="1:7" x14ac:dyDescent="0.2">
      <c r="A7" s="19">
        <v>3</v>
      </c>
      <c r="B7" s="19" t="s">
        <v>829</v>
      </c>
      <c r="C7" s="45">
        <v>45000000</v>
      </c>
      <c r="D7" s="19">
        <v>48</v>
      </c>
      <c r="E7" s="24">
        <f t="shared" si="0"/>
        <v>937500</v>
      </c>
      <c r="F7" s="22">
        <f>E7/Settings!$B$8</f>
        <v>5326.704545454545</v>
      </c>
      <c r="G7" s="56">
        <f>E7/Settings!$B$4</f>
        <v>72.95719844357977</v>
      </c>
    </row>
    <row r="8" spans="1:7" x14ac:dyDescent="0.2">
      <c r="A8" s="13">
        <v>4</v>
      </c>
      <c r="B8" s="13" t="s">
        <v>830</v>
      </c>
      <c r="C8" s="44">
        <v>50000000</v>
      </c>
      <c r="D8" s="13">
        <v>48</v>
      </c>
      <c r="E8" s="18">
        <f t="shared" si="0"/>
        <v>1041666.6666666666</v>
      </c>
      <c r="F8" s="16">
        <f>E8/Settings!$B$8</f>
        <v>5918.560606060606</v>
      </c>
      <c r="G8" s="56">
        <f>E8/Settings!$B$4</f>
        <v>81.063553826199737</v>
      </c>
    </row>
    <row r="9" spans="1:7" x14ac:dyDescent="0.2">
      <c r="A9" s="19">
        <v>5</v>
      </c>
      <c r="B9" s="19" t="s">
        <v>831</v>
      </c>
      <c r="C9" s="45">
        <v>15000000</v>
      </c>
      <c r="D9" s="19">
        <v>36</v>
      </c>
      <c r="E9" s="24">
        <f t="shared" si="0"/>
        <v>416666.66666666669</v>
      </c>
      <c r="F9" s="22">
        <f>E9/Settings!$B$8</f>
        <v>2367.4242424242425</v>
      </c>
      <c r="G9" s="56">
        <f>E9/Settings!$B$4</f>
        <v>32.425421530479895</v>
      </c>
    </row>
    <row r="10" spans="1:7" x14ac:dyDescent="0.2">
      <c r="A10" s="13">
        <v>6</v>
      </c>
      <c r="B10" s="13" t="s">
        <v>832</v>
      </c>
      <c r="C10" s="44">
        <v>60000000</v>
      </c>
      <c r="D10" s="13">
        <v>60</v>
      </c>
      <c r="E10" s="18">
        <f t="shared" si="0"/>
        <v>1000000</v>
      </c>
      <c r="F10" s="16">
        <f>E10/Settings!$B$8</f>
        <v>5681.818181818182</v>
      </c>
      <c r="G10" s="56">
        <f>E10/Settings!$B$4</f>
        <v>77.821011673151745</v>
      </c>
    </row>
    <row r="11" spans="1:7" x14ac:dyDescent="0.2">
      <c r="A11" s="19">
        <v>7</v>
      </c>
      <c r="B11" s="19" t="s">
        <v>833</v>
      </c>
      <c r="C11" s="45">
        <v>25000000</v>
      </c>
      <c r="D11" s="19">
        <v>48</v>
      </c>
      <c r="E11" s="24">
        <f t="shared" si="0"/>
        <v>520833.33333333331</v>
      </c>
      <c r="F11" s="22">
        <f>E11/Settings!$B$8</f>
        <v>2959.280303030303</v>
      </c>
      <c r="G11" s="56">
        <f>E11/Settings!$B$4</f>
        <v>40.531776913099868</v>
      </c>
    </row>
    <row r="12" spans="1:7" x14ac:dyDescent="0.2">
      <c r="A12" s="13">
        <v>8</v>
      </c>
      <c r="B12" s="13" t="s">
        <v>834</v>
      </c>
      <c r="C12" s="44">
        <v>12000000</v>
      </c>
      <c r="D12" s="13">
        <v>48</v>
      </c>
      <c r="E12" s="18">
        <f t="shared" si="0"/>
        <v>250000</v>
      </c>
      <c r="F12" s="16">
        <f>E12/Settings!$B$8</f>
        <v>1420.4545454545455</v>
      </c>
      <c r="G12" s="56">
        <f>E12/Settings!$B$4</f>
        <v>19.455252918287936</v>
      </c>
    </row>
    <row r="13" spans="1:7" x14ac:dyDescent="0.2">
      <c r="A13" s="19">
        <v>9</v>
      </c>
      <c r="B13" s="19" t="s">
        <v>835</v>
      </c>
      <c r="C13" s="45">
        <v>40000000</v>
      </c>
      <c r="D13" s="19">
        <v>60</v>
      </c>
      <c r="E13" s="24">
        <f t="shared" si="0"/>
        <v>666666.66666666663</v>
      </c>
      <c r="F13" s="22">
        <f>E13/Settings!$B$8</f>
        <v>3787.8787878787875</v>
      </c>
      <c r="G13" s="56">
        <f>E13/Settings!$B$4</f>
        <v>51.880674448767834</v>
      </c>
    </row>
    <row r="14" spans="1:7" x14ac:dyDescent="0.2">
      <c r="A14" s="13">
        <v>10</v>
      </c>
      <c r="B14" s="13" t="s">
        <v>836</v>
      </c>
      <c r="C14" s="44">
        <v>10000000</v>
      </c>
      <c r="D14" s="13">
        <v>36</v>
      </c>
      <c r="E14" s="18">
        <f t="shared" si="0"/>
        <v>277777.77777777775</v>
      </c>
      <c r="F14" s="16">
        <f>E14/Settings!$B$8</f>
        <v>1578.2828282828282</v>
      </c>
      <c r="G14" s="56">
        <f>E14/Settings!$B$4</f>
        <v>21.616947686986595</v>
      </c>
    </row>
    <row r="15" spans="1:7" x14ac:dyDescent="0.2">
      <c r="A15" s="19"/>
      <c r="B15" s="19" t="s">
        <v>837</v>
      </c>
      <c r="C15" s="24">
        <f>SUM(C5:C14)</f>
        <v>422000000</v>
      </c>
      <c r="D15" s="19"/>
      <c r="E15" s="24">
        <f>SUM(E5:E14)</f>
        <v>9694444.444444444</v>
      </c>
      <c r="F15" s="24">
        <f>SUM(F5:F14)</f>
        <v>55082.070707070699</v>
      </c>
      <c r="G15" s="57">
        <f>SUM(G5:G14)</f>
        <v>754.43147427583222</v>
      </c>
    </row>
    <row r="16" spans="1:7" x14ac:dyDescent="0.2">
      <c r="A16" s="13"/>
      <c r="B16" s="13"/>
      <c r="C16" s="13"/>
      <c r="D16" s="13"/>
      <c r="E16" s="13"/>
      <c r="F16" s="13"/>
      <c r="G16" s="54"/>
    </row>
    <row r="17" spans="1:7" x14ac:dyDescent="0.2">
      <c r="A17" s="19" t="s">
        <v>838</v>
      </c>
      <c r="B17" s="19"/>
      <c r="C17" s="19"/>
      <c r="D17" s="19"/>
      <c r="E17" s="19"/>
      <c r="F17" s="19"/>
      <c r="G17" s="54"/>
    </row>
    <row r="18" spans="1:7" x14ac:dyDescent="0.2">
      <c r="A18" s="13" t="s">
        <v>0</v>
      </c>
      <c r="B18" s="13" t="s">
        <v>839</v>
      </c>
      <c r="C18" s="13" t="s">
        <v>840</v>
      </c>
      <c r="D18" s="13" t="s">
        <v>841</v>
      </c>
      <c r="E18" s="13" t="s">
        <v>842</v>
      </c>
      <c r="F18" s="13"/>
      <c r="G18" s="54"/>
    </row>
    <row r="19" spans="1:7" x14ac:dyDescent="0.2">
      <c r="A19" s="19">
        <v>1</v>
      </c>
      <c r="B19" s="19" t="s">
        <v>372</v>
      </c>
      <c r="C19" s="45">
        <v>15000000</v>
      </c>
      <c r="D19" s="22">
        <f>C19/(15*Settings!$B$8)</f>
        <v>5681.818181818182</v>
      </c>
      <c r="E19" s="22">
        <f>C19/Settings!$B$4</f>
        <v>1167.3151750972763</v>
      </c>
      <c r="F19" s="19"/>
      <c r="G19" s="54"/>
    </row>
    <row r="20" spans="1:7" x14ac:dyDescent="0.2">
      <c r="A20" s="13">
        <v>2</v>
      </c>
      <c r="B20" s="13" t="s">
        <v>374</v>
      </c>
      <c r="C20" s="44">
        <v>8000000</v>
      </c>
      <c r="D20" s="16">
        <f>C20/(15*Settings!$B$8)</f>
        <v>3030.3030303030305</v>
      </c>
      <c r="E20" s="16">
        <f>C20/Settings!$B$4</f>
        <v>622.56809338521396</v>
      </c>
      <c r="F20" s="13"/>
      <c r="G20" s="54"/>
    </row>
    <row r="21" spans="1:7" x14ac:dyDescent="0.2">
      <c r="A21" s="19">
        <v>3</v>
      </c>
      <c r="B21" s="19" t="s">
        <v>843</v>
      </c>
      <c r="C21" s="45">
        <v>3000000</v>
      </c>
      <c r="D21" s="22">
        <f>C21/(15*Settings!$B$8)</f>
        <v>1136.3636363636363</v>
      </c>
      <c r="E21" s="22">
        <f>C21/Settings!$B$4</f>
        <v>233.46303501945525</v>
      </c>
      <c r="F21" s="19"/>
      <c r="G21" s="54"/>
    </row>
    <row r="22" spans="1:7" x14ac:dyDescent="0.2">
      <c r="A22" s="13">
        <v>4</v>
      </c>
      <c r="B22" s="13" t="s">
        <v>844</v>
      </c>
      <c r="C22" s="44">
        <v>2500000</v>
      </c>
      <c r="D22" s="16">
        <f>C22/(15*Settings!$B$8)</f>
        <v>946.969696969697</v>
      </c>
      <c r="E22" s="16">
        <f>C22/Settings!$B$4</f>
        <v>194.55252918287937</v>
      </c>
      <c r="F22" s="13"/>
      <c r="G22" s="54"/>
    </row>
    <row r="23" spans="1:7" x14ac:dyDescent="0.2">
      <c r="A23" s="19">
        <v>5</v>
      </c>
      <c r="B23" s="19" t="s">
        <v>845</v>
      </c>
      <c r="C23" s="45">
        <v>2000000</v>
      </c>
      <c r="D23" s="22">
        <f>C23/(15*Settings!$B$8)</f>
        <v>757.57575757575762</v>
      </c>
      <c r="E23" s="22">
        <f>C23/Settings!$B$4</f>
        <v>155.64202334630349</v>
      </c>
      <c r="F23" s="19"/>
      <c r="G23" s="54"/>
    </row>
    <row r="24" spans="1:7" x14ac:dyDescent="0.2">
      <c r="A24" s="13">
        <v>6</v>
      </c>
      <c r="B24" s="13" t="s">
        <v>846</v>
      </c>
      <c r="C24" s="44">
        <v>5000000</v>
      </c>
      <c r="D24" s="16">
        <f>C24/(15*Settings!$B$8)</f>
        <v>1893.939393939394</v>
      </c>
      <c r="E24" s="16">
        <f>C24/Settings!$B$4</f>
        <v>389.10505836575874</v>
      </c>
      <c r="F24" s="13"/>
      <c r="G24" s="54"/>
    </row>
    <row r="25" spans="1:7" x14ac:dyDescent="0.2">
      <c r="A25" s="19">
        <v>7</v>
      </c>
      <c r="B25" s="19" t="s">
        <v>847</v>
      </c>
      <c r="C25" s="45">
        <v>3000000</v>
      </c>
      <c r="D25" s="22">
        <f>C25/(15*Settings!$B$8)</f>
        <v>1136.3636363636363</v>
      </c>
      <c r="E25" s="22">
        <f>C25/Settings!$B$4</f>
        <v>233.46303501945525</v>
      </c>
      <c r="F25" s="19"/>
      <c r="G25" s="54"/>
    </row>
    <row r="26" spans="1:7" x14ac:dyDescent="0.2">
      <c r="A26" s="13">
        <v>8</v>
      </c>
      <c r="B26" s="13" t="s">
        <v>848</v>
      </c>
      <c r="C26" s="44">
        <v>2000000</v>
      </c>
      <c r="D26" s="16">
        <f>C26/(15*Settings!$B$8)</f>
        <v>757.57575757575762</v>
      </c>
      <c r="E26" s="16">
        <f>C26/Settings!$B$4</f>
        <v>155.64202334630349</v>
      </c>
      <c r="F26" s="13"/>
      <c r="G26" s="54"/>
    </row>
    <row r="27" spans="1:7" x14ac:dyDescent="0.2">
      <c r="A27" s="19">
        <v>9</v>
      </c>
      <c r="B27" s="19" t="s">
        <v>849</v>
      </c>
      <c r="C27" s="45">
        <v>4000000</v>
      </c>
      <c r="D27" s="22">
        <f>C27/(15*Settings!$B$8)</f>
        <v>1515.1515151515152</v>
      </c>
      <c r="E27" s="22">
        <f>C27/Settings!$B$4</f>
        <v>311.28404669260698</v>
      </c>
      <c r="F27" s="19"/>
      <c r="G27" s="54"/>
    </row>
    <row r="28" spans="1:7" x14ac:dyDescent="0.2">
      <c r="A28" s="13">
        <v>10</v>
      </c>
      <c r="B28" s="13" t="s">
        <v>850</v>
      </c>
      <c r="C28" s="44">
        <v>3000000</v>
      </c>
      <c r="D28" s="16">
        <f>C28/(15*Settings!$B$8)</f>
        <v>1136.3636363636363</v>
      </c>
      <c r="E28" s="16">
        <f>C28/Settings!$B$4</f>
        <v>233.46303501945525</v>
      </c>
      <c r="F28" s="13"/>
      <c r="G28" s="54"/>
    </row>
    <row r="29" spans="1:7" x14ac:dyDescent="0.2">
      <c r="A29" s="19"/>
      <c r="B29" s="19" t="s">
        <v>851</v>
      </c>
      <c r="C29" s="24">
        <f>SUM(C19:C28)</f>
        <v>47500000</v>
      </c>
      <c r="D29" s="24">
        <f>SUM(D19:D28)</f>
        <v>17992.42424242424</v>
      </c>
      <c r="E29" s="24">
        <f>SUM(E19:E28)</f>
        <v>3696.4980544747082</v>
      </c>
      <c r="F29" s="19"/>
      <c r="G29" s="54"/>
    </row>
  </sheetData>
  <autoFilter ref="A4:G29" xr:uid="{00000000-0009-0000-0000-000004000000}"/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8C5B8"/>
  </sheetPr>
  <dimension ref="A1:U24"/>
  <sheetViews>
    <sheetView zoomScaleNormal="100" workbookViewId="0">
      <selection sqref="A1:U1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0" customWidth="1"/>
    <col min="4" max="4" width="11" customWidth="1"/>
    <col min="5" max="18" width="13" customWidth="1"/>
    <col min="19" max="19" width="14" customWidth="1"/>
    <col min="20" max="20" width="18" customWidth="1"/>
    <col min="21" max="21" width="13" customWidth="1"/>
  </cols>
  <sheetData>
    <row r="1" spans="1:21" ht="19.75" customHeight="1" x14ac:dyDescent="0.2">
      <c r="A1" s="11" t="s">
        <v>852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3" spans="1:21" ht="28" x14ac:dyDescent="0.2">
      <c r="A3" s="12" t="s">
        <v>0</v>
      </c>
      <c r="B3" s="12" t="s">
        <v>853</v>
      </c>
      <c r="C3" s="12" t="s">
        <v>854</v>
      </c>
      <c r="D3" s="12" t="s">
        <v>855</v>
      </c>
      <c r="E3" s="12" t="s">
        <v>856</v>
      </c>
      <c r="F3" s="12" t="s">
        <v>857</v>
      </c>
      <c r="G3" s="12" t="s">
        <v>858</v>
      </c>
      <c r="H3" s="12" t="s">
        <v>859</v>
      </c>
      <c r="I3" s="12" t="s">
        <v>860</v>
      </c>
      <c r="J3" s="12" t="s">
        <v>861</v>
      </c>
      <c r="K3" s="12" t="s">
        <v>862</v>
      </c>
      <c r="L3" s="12" t="s">
        <v>863</v>
      </c>
      <c r="M3" s="12" t="s">
        <v>864</v>
      </c>
      <c r="N3" s="12" t="s">
        <v>865</v>
      </c>
      <c r="O3" s="12" t="s">
        <v>866</v>
      </c>
      <c r="P3" s="12" t="s">
        <v>867</v>
      </c>
      <c r="Q3" s="12" t="s">
        <v>868</v>
      </c>
      <c r="R3" s="12" t="s">
        <v>869</v>
      </c>
      <c r="S3" s="12" t="s">
        <v>870</v>
      </c>
      <c r="T3" s="12" t="s">
        <v>871</v>
      </c>
      <c r="U3" s="12" t="s">
        <v>872</v>
      </c>
    </row>
    <row r="4" spans="1:21" x14ac:dyDescent="0.2">
      <c r="A4" s="19">
        <v>1</v>
      </c>
      <c r="B4" s="19" t="s">
        <v>22</v>
      </c>
      <c r="C4" s="59">
        <v>1.1000000000000001</v>
      </c>
      <c r="D4" s="60">
        <v>60</v>
      </c>
      <c r="E4" s="60">
        <v>160</v>
      </c>
      <c r="F4" s="60">
        <v>120</v>
      </c>
      <c r="G4" s="60">
        <v>60</v>
      </c>
      <c r="H4" s="60">
        <v>80</v>
      </c>
      <c r="I4" s="60">
        <v>120</v>
      </c>
      <c r="J4" s="60">
        <v>60</v>
      </c>
      <c r="K4" s="60">
        <v>24</v>
      </c>
      <c r="L4" s="60">
        <v>40</v>
      </c>
      <c r="M4" s="60">
        <v>80</v>
      </c>
      <c r="N4" s="60">
        <v>24</v>
      </c>
      <c r="O4" s="60">
        <v>8</v>
      </c>
      <c r="P4" s="60">
        <v>16</v>
      </c>
      <c r="Q4" s="60">
        <v>60</v>
      </c>
      <c r="R4" s="60">
        <v>24</v>
      </c>
      <c r="S4" s="61">
        <f t="shared" ref="S4:S23" si="0">SUM(D4:R4)</f>
        <v>936</v>
      </c>
      <c r="T4" s="24">
        <f>(D4*'Xodimlar va Soat narxi'!N5+E4*'Xodimlar va Soat narxi'!N6+F4*'Xodimlar va Soat narxi'!N8+G4*'Xodimlar va Soat narxi'!N9+H4*'Xodimlar va Soat narxi'!N10+I4*'Xodimlar va Soat narxi'!N11+J4*'Xodimlar va Soat narxi'!N13+K4*'Xodimlar va Soat narxi'!N14+L4*'Xodimlar va Soat narxi'!N16+M4*'Xodimlar va Soat narxi'!N17+N4*'Xodimlar va Soat narxi'!N19+O4*'Xodimlar va Soat narxi'!N20+P4*'Xodimlar va Soat narxi'!N22+Q4*'Xodimlar va Soat narxi'!N24+R4*'Xodimlar va Soat narxi'!N25)*C4</f>
        <v>216016133.33333334</v>
      </c>
      <c r="U4" s="22">
        <f>T4/Settings!$B$4</f>
        <v>16810.594033722438</v>
      </c>
    </row>
    <row r="5" spans="1:21" x14ac:dyDescent="0.2">
      <c r="A5" s="13">
        <v>2</v>
      </c>
      <c r="B5" s="13" t="s">
        <v>33</v>
      </c>
      <c r="C5" s="62">
        <v>1.1499999999999999</v>
      </c>
      <c r="D5" s="63">
        <v>60</v>
      </c>
      <c r="E5" s="63">
        <v>60</v>
      </c>
      <c r="F5" s="63">
        <v>40</v>
      </c>
      <c r="G5" s="63">
        <v>24</v>
      </c>
      <c r="H5" s="63">
        <v>160</v>
      </c>
      <c r="I5" s="63">
        <v>40</v>
      </c>
      <c r="J5" s="63">
        <v>24</v>
      </c>
      <c r="K5" s="63">
        <v>0</v>
      </c>
      <c r="L5" s="63">
        <v>80</v>
      </c>
      <c r="M5" s="63">
        <v>60</v>
      </c>
      <c r="N5" s="63">
        <v>40</v>
      </c>
      <c r="O5" s="63">
        <v>0</v>
      </c>
      <c r="P5" s="63">
        <v>8</v>
      </c>
      <c r="Q5" s="63">
        <v>8</v>
      </c>
      <c r="R5" s="63">
        <v>60</v>
      </c>
      <c r="S5" s="64">
        <f t="shared" si="0"/>
        <v>664</v>
      </c>
      <c r="T5" s="18">
        <f>(D5*'Xodimlar va Soat narxi'!N5+E5*'Xodimlar va Soat narxi'!N6+F5*'Xodimlar va Soat narxi'!N8+G5*'Xodimlar va Soat narxi'!N9+H5*'Xodimlar va Soat narxi'!N10+I5*'Xodimlar va Soat narxi'!N11+J5*'Xodimlar va Soat narxi'!N13+K5*'Xodimlar va Soat narxi'!N14+L5*'Xodimlar va Soat narxi'!N16+M5*'Xodimlar va Soat narxi'!N17+N5*'Xodimlar va Soat narxi'!N19+O5*'Xodimlar va Soat narxi'!N20+P5*'Xodimlar va Soat narxi'!N22+Q5*'Xodimlar va Soat narxi'!N24+R5*'Xodimlar va Soat narxi'!N25)*C5</f>
        <v>154944200.67340067</v>
      </c>
      <c r="U5" s="16">
        <f>T5/Settings!$B$4</f>
        <v>12057.91444929188</v>
      </c>
    </row>
    <row r="6" spans="1:21" x14ac:dyDescent="0.2">
      <c r="A6" s="19">
        <v>3</v>
      </c>
      <c r="B6" s="19" t="s">
        <v>42</v>
      </c>
      <c r="C6" s="59">
        <v>1.2</v>
      </c>
      <c r="D6" s="60">
        <v>60</v>
      </c>
      <c r="E6" s="60">
        <v>160</v>
      </c>
      <c r="F6" s="60">
        <v>120</v>
      </c>
      <c r="G6" s="60">
        <v>120</v>
      </c>
      <c r="H6" s="60">
        <v>120</v>
      </c>
      <c r="I6" s="60">
        <v>60</v>
      </c>
      <c r="J6" s="60">
        <v>0</v>
      </c>
      <c r="K6" s="60">
        <v>16</v>
      </c>
      <c r="L6" s="60">
        <v>24</v>
      </c>
      <c r="M6" s="60">
        <v>16</v>
      </c>
      <c r="N6" s="60">
        <v>8</v>
      </c>
      <c r="O6" s="60">
        <v>0</v>
      </c>
      <c r="P6" s="60">
        <v>16</v>
      </c>
      <c r="Q6" s="60">
        <v>0</v>
      </c>
      <c r="R6" s="60">
        <v>60</v>
      </c>
      <c r="S6" s="61">
        <f t="shared" si="0"/>
        <v>780</v>
      </c>
      <c r="T6" s="24">
        <f>(D6*'Xodimlar va Soat narxi'!N5+E6*'Xodimlar va Soat narxi'!N6+F6*'Xodimlar va Soat narxi'!N8+G6*'Xodimlar va Soat narxi'!N9+H6*'Xodimlar va Soat narxi'!N10+I6*'Xodimlar va Soat narxi'!N11+J6*'Xodimlar va Soat narxi'!N13+K6*'Xodimlar va Soat narxi'!N14+L6*'Xodimlar va Soat narxi'!N16+M6*'Xodimlar va Soat narxi'!N17+N6*'Xodimlar va Soat narxi'!N19+O6*'Xodimlar va Soat narxi'!N20+P6*'Xodimlar va Soat narxi'!N22+Q6*'Xodimlar va Soat narxi'!N24+R6*'Xodimlar va Soat narxi'!N25)*C6</f>
        <v>204317121.21212125</v>
      </c>
      <c r="U6" s="22">
        <f>T6/Settings!$B$4</f>
        <v>15900.165074873248</v>
      </c>
    </row>
    <row r="7" spans="1:21" x14ac:dyDescent="0.2">
      <c r="A7" s="13">
        <v>4</v>
      </c>
      <c r="B7" s="13" t="s">
        <v>51</v>
      </c>
      <c r="C7" s="62">
        <v>1.3</v>
      </c>
      <c r="D7" s="63">
        <v>40</v>
      </c>
      <c r="E7" s="63">
        <v>60</v>
      </c>
      <c r="F7" s="63">
        <v>24</v>
      </c>
      <c r="G7" s="63">
        <v>24</v>
      </c>
      <c r="H7" s="63">
        <v>120</v>
      </c>
      <c r="I7" s="63">
        <v>60</v>
      </c>
      <c r="J7" s="63">
        <v>80</v>
      </c>
      <c r="K7" s="63">
        <v>16</v>
      </c>
      <c r="L7" s="63">
        <v>80</v>
      </c>
      <c r="M7" s="63">
        <v>40</v>
      </c>
      <c r="N7" s="63">
        <v>0</v>
      </c>
      <c r="O7" s="63">
        <v>0</v>
      </c>
      <c r="P7" s="63">
        <v>40</v>
      </c>
      <c r="Q7" s="63">
        <v>16</v>
      </c>
      <c r="R7" s="63">
        <v>24</v>
      </c>
      <c r="S7" s="64">
        <f t="shared" si="0"/>
        <v>624</v>
      </c>
      <c r="T7" s="18">
        <f>(D7*'Xodimlar va Soat narxi'!N5+E7*'Xodimlar va Soat narxi'!N6+F7*'Xodimlar va Soat narxi'!N8+G7*'Xodimlar va Soat narxi'!N9+H7*'Xodimlar va Soat narxi'!N10+I7*'Xodimlar va Soat narxi'!N11+J7*'Xodimlar va Soat narxi'!N13+K7*'Xodimlar va Soat narxi'!N14+L7*'Xodimlar va Soat narxi'!N16+M7*'Xodimlar va Soat narxi'!N17+N7*'Xodimlar va Soat narxi'!N19+O7*'Xodimlar va Soat narxi'!N20+P7*'Xodimlar va Soat narxi'!N22+Q7*'Xodimlar va Soat narxi'!N24+R7*'Xodimlar va Soat narxi'!N25)*C7</f>
        <v>163087074.74747473</v>
      </c>
      <c r="U7" s="16">
        <f>T7/Settings!$B$4</f>
        <v>12691.601147663403</v>
      </c>
    </row>
    <row r="8" spans="1:21" x14ac:dyDescent="0.2">
      <c r="A8" s="19">
        <v>5</v>
      </c>
      <c r="B8" s="19" t="s">
        <v>60</v>
      </c>
      <c r="C8" s="59">
        <v>1.2</v>
      </c>
      <c r="D8" s="60">
        <v>80</v>
      </c>
      <c r="E8" s="60">
        <v>60</v>
      </c>
      <c r="F8" s="60">
        <v>40</v>
      </c>
      <c r="G8" s="60">
        <v>24</v>
      </c>
      <c r="H8" s="60">
        <v>60</v>
      </c>
      <c r="I8" s="60">
        <v>80</v>
      </c>
      <c r="J8" s="60">
        <v>0</v>
      </c>
      <c r="K8" s="60">
        <v>0</v>
      </c>
      <c r="L8" s="60">
        <v>40</v>
      </c>
      <c r="M8" s="60">
        <v>40</v>
      </c>
      <c r="N8" s="60">
        <v>0</v>
      </c>
      <c r="O8" s="60">
        <v>24</v>
      </c>
      <c r="P8" s="60">
        <v>60</v>
      </c>
      <c r="Q8" s="60">
        <v>60</v>
      </c>
      <c r="R8" s="60">
        <v>0</v>
      </c>
      <c r="S8" s="61">
        <f t="shared" si="0"/>
        <v>568</v>
      </c>
      <c r="T8" s="24">
        <f>(D8*'Xodimlar va Soat narxi'!N5+E8*'Xodimlar va Soat narxi'!N6+F8*'Xodimlar va Soat narxi'!N8+G8*'Xodimlar va Soat narxi'!N9+H8*'Xodimlar va Soat narxi'!N10+I8*'Xodimlar va Soat narxi'!N11+J8*'Xodimlar va Soat narxi'!N13+K8*'Xodimlar va Soat narxi'!N14+L8*'Xodimlar va Soat narxi'!N16+M8*'Xodimlar va Soat narxi'!N17+N8*'Xodimlar va Soat narxi'!N19+O8*'Xodimlar va Soat narxi'!N20+P8*'Xodimlar va Soat narxi'!N22+Q8*'Xodimlar va Soat narxi'!N24+R8*'Xodimlar va Soat narxi'!N25)*C8</f>
        <v>141109002.02020204</v>
      </c>
      <c r="U8" s="22">
        <f>T8/Settings!$B$4</f>
        <v>10981.245293400936</v>
      </c>
    </row>
    <row r="9" spans="1:21" x14ac:dyDescent="0.2">
      <c r="A9" s="13">
        <v>6</v>
      </c>
      <c r="B9" s="13" t="s">
        <v>69</v>
      </c>
      <c r="C9" s="62">
        <v>1.1000000000000001</v>
      </c>
      <c r="D9" s="63">
        <v>40</v>
      </c>
      <c r="E9" s="63">
        <v>120</v>
      </c>
      <c r="F9" s="63">
        <v>60</v>
      </c>
      <c r="G9" s="63">
        <v>24</v>
      </c>
      <c r="H9" s="63">
        <v>40</v>
      </c>
      <c r="I9" s="63">
        <v>24</v>
      </c>
      <c r="J9" s="63">
        <v>60</v>
      </c>
      <c r="K9" s="63">
        <v>40</v>
      </c>
      <c r="L9" s="63">
        <v>60</v>
      </c>
      <c r="M9" s="63">
        <v>60</v>
      </c>
      <c r="N9" s="63">
        <v>24</v>
      </c>
      <c r="O9" s="63">
        <v>0</v>
      </c>
      <c r="P9" s="63">
        <v>40</v>
      </c>
      <c r="Q9" s="63">
        <v>24</v>
      </c>
      <c r="R9" s="63">
        <v>24</v>
      </c>
      <c r="S9" s="64">
        <f t="shared" si="0"/>
        <v>640</v>
      </c>
      <c r="T9" s="18">
        <f>(D9*'Xodimlar va Soat narxi'!N5+E9*'Xodimlar va Soat narxi'!N6+F9*'Xodimlar va Soat narxi'!N8+G9*'Xodimlar va Soat narxi'!N9+H9*'Xodimlar va Soat narxi'!N10+I9*'Xodimlar va Soat narxi'!N11+J9*'Xodimlar va Soat narxi'!N13+K9*'Xodimlar va Soat narxi'!N14+L9*'Xodimlar va Soat narxi'!N16+M9*'Xodimlar va Soat narxi'!N17+N9*'Xodimlar va Soat narxi'!N19+O9*'Xodimlar va Soat narxi'!N20+P9*'Xodimlar va Soat narxi'!N22+Q9*'Xodimlar va Soat narxi'!N24+R9*'Xodimlar va Soat narxi'!N25)*C9</f>
        <v>145794851.85185185</v>
      </c>
      <c r="U9" s="16">
        <f>T9/Settings!$B$4</f>
        <v>11345.902867848394</v>
      </c>
    </row>
    <row r="10" spans="1:21" x14ac:dyDescent="0.2">
      <c r="A10" s="19">
        <v>7</v>
      </c>
      <c r="B10" s="19" t="s">
        <v>78</v>
      </c>
      <c r="C10" s="59">
        <v>1.2</v>
      </c>
      <c r="D10" s="60">
        <v>60</v>
      </c>
      <c r="E10" s="60">
        <v>120</v>
      </c>
      <c r="F10" s="60">
        <v>80</v>
      </c>
      <c r="G10" s="60">
        <v>60</v>
      </c>
      <c r="H10" s="60">
        <v>120</v>
      </c>
      <c r="I10" s="60">
        <v>120</v>
      </c>
      <c r="J10" s="60">
        <v>0</v>
      </c>
      <c r="K10" s="60">
        <v>60</v>
      </c>
      <c r="L10" s="60">
        <v>80</v>
      </c>
      <c r="M10" s="60">
        <v>0</v>
      </c>
      <c r="N10" s="60">
        <v>0</v>
      </c>
      <c r="O10" s="60">
        <v>40</v>
      </c>
      <c r="P10" s="60">
        <v>8</v>
      </c>
      <c r="Q10" s="60">
        <v>16</v>
      </c>
      <c r="R10" s="60">
        <v>60</v>
      </c>
      <c r="S10" s="61">
        <f t="shared" si="0"/>
        <v>824</v>
      </c>
      <c r="T10" s="24">
        <f>(D10*'Xodimlar va Soat narxi'!N5+E10*'Xodimlar va Soat narxi'!N6+F10*'Xodimlar va Soat narxi'!N8+G10*'Xodimlar va Soat narxi'!N9+H10*'Xodimlar va Soat narxi'!N10+I10*'Xodimlar va Soat narxi'!N11+J10*'Xodimlar va Soat narxi'!N13+K10*'Xodimlar va Soat narxi'!N14+L10*'Xodimlar va Soat narxi'!N16+M10*'Xodimlar va Soat narxi'!N17+N10*'Xodimlar va Soat narxi'!N19+O10*'Xodimlar va Soat narxi'!N20+P10*'Xodimlar va Soat narxi'!N22+Q10*'Xodimlar va Soat narxi'!N24+R10*'Xodimlar va Soat narxi'!N25)*C10</f>
        <v>205154682.8282828</v>
      </c>
      <c r="U10" s="22">
        <f>T10/Settings!$B$4</f>
        <v>15965.344967181542</v>
      </c>
    </row>
    <row r="11" spans="1:21" x14ac:dyDescent="0.2">
      <c r="A11" s="13">
        <v>8</v>
      </c>
      <c r="B11" s="13" t="s">
        <v>85</v>
      </c>
      <c r="C11" s="62">
        <v>1</v>
      </c>
      <c r="D11" s="63">
        <v>40</v>
      </c>
      <c r="E11" s="63">
        <v>40</v>
      </c>
      <c r="F11" s="63">
        <v>40</v>
      </c>
      <c r="G11" s="63">
        <v>120</v>
      </c>
      <c r="H11" s="63">
        <v>24</v>
      </c>
      <c r="I11" s="63">
        <v>40</v>
      </c>
      <c r="J11" s="63">
        <v>0</v>
      </c>
      <c r="K11" s="63">
        <v>40</v>
      </c>
      <c r="L11" s="63">
        <v>40</v>
      </c>
      <c r="M11" s="63">
        <v>80</v>
      </c>
      <c r="N11" s="63">
        <v>24</v>
      </c>
      <c r="O11" s="63">
        <v>16</v>
      </c>
      <c r="P11" s="63">
        <v>16</v>
      </c>
      <c r="Q11" s="63">
        <v>0</v>
      </c>
      <c r="R11" s="63">
        <v>8</v>
      </c>
      <c r="S11" s="64">
        <f t="shared" si="0"/>
        <v>528</v>
      </c>
      <c r="T11" s="18">
        <f>(D11*'Xodimlar va Soat narxi'!N5+E11*'Xodimlar va Soat narxi'!N6+F11*'Xodimlar va Soat narxi'!N8+G11*'Xodimlar va Soat narxi'!N9+H11*'Xodimlar va Soat narxi'!N10+I11*'Xodimlar va Soat narxi'!N11+J11*'Xodimlar va Soat narxi'!N13+K11*'Xodimlar va Soat narxi'!N14+L11*'Xodimlar va Soat narxi'!N16+M11*'Xodimlar va Soat narxi'!N17+N11*'Xodimlar va Soat narxi'!N19+O11*'Xodimlar va Soat narxi'!N20+P11*'Xodimlar va Soat narxi'!N22+Q11*'Xodimlar va Soat narxi'!N24+R11*'Xodimlar va Soat narxi'!N25)*C11</f>
        <v>109210161.61616161</v>
      </c>
      <c r="U11" s="16">
        <f>T11/Settings!$B$4</f>
        <v>8498.8452619581021</v>
      </c>
    </row>
    <row r="12" spans="1:21" x14ac:dyDescent="0.2">
      <c r="A12" s="19">
        <v>9</v>
      </c>
      <c r="B12" s="19" t="s">
        <v>93</v>
      </c>
      <c r="C12" s="59">
        <v>1.1499999999999999</v>
      </c>
      <c r="D12" s="60">
        <v>160</v>
      </c>
      <c r="E12" s="60">
        <v>60</v>
      </c>
      <c r="F12" s="60">
        <v>160</v>
      </c>
      <c r="G12" s="60">
        <v>80</v>
      </c>
      <c r="H12" s="60">
        <v>24</v>
      </c>
      <c r="I12" s="60">
        <v>160</v>
      </c>
      <c r="J12" s="60">
        <v>16</v>
      </c>
      <c r="K12" s="60">
        <v>24</v>
      </c>
      <c r="L12" s="60">
        <v>80</v>
      </c>
      <c r="M12" s="60">
        <v>60</v>
      </c>
      <c r="N12" s="60">
        <v>40</v>
      </c>
      <c r="O12" s="60">
        <v>0</v>
      </c>
      <c r="P12" s="60">
        <v>24</v>
      </c>
      <c r="Q12" s="60">
        <v>0</v>
      </c>
      <c r="R12" s="60">
        <v>40</v>
      </c>
      <c r="S12" s="61">
        <f t="shared" si="0"/>
        <v>928</v>
      </c>
      <c r="T12" s="24">
        <f>(D12*'Xodimlar va Soat narxi'!N5+E12*'Xodimlar va Soat narxi'!N6+F12*'Xodimlar va Soat narxi'!N8+G12*'Xodimlar va Soat narxi'!N9+H12*'Xodimlar va Soat narxi'!N10+I12*'Xodimlar va Soat narxi'!N11+J12*'Xodimlar va Soat narxi'!N13+K12*'Xodimlar va Soat narxi'!N14+L12*'Xodimlar va Soat narxi'!N16+M12*'Xodimlar va Soat narxi'!N17+N12*'Xodimlar va Soat narxi'!N19+O12*'Xodimlar va Soat narxi'!N20+P12*'Xodimlar va Soat narxi'!N22+Q12*'Xodimlar va Soat narxi'!N24+R12*'Xodimlar va Soat narxi'!N25)*C12</f>
        <v>231222225.42087534</v>
      </c>
      <c r="U12" s="22">
        <f>T12/Settings!$B$4</f>
        <v>17993.947503570067</v>
      </c>
    </row>
    <row r="13" spans="1:21" x14ac:dyDescent="0.2">
      <c r="A13" s="13">
        <v>10</v>
      </c>
      <c r="B13" s="13" t="s">
        <v>102</v>
      </c>
      <c r="C13" s="62">
        <v>1.1000000000000001</v>
      </c>
      <c r="D13" s="63">
        <v>160</v>
      </c>
      <c r="E13" s="63">
        <v>40</v>
      </c>
      <c r="F13" s="63">
        <v>60</v>
      </c>
      <c r="G13" s="63">
        <v>40</v>
      </c>
      <c r="H13" s="63">
        <v>24</v>
      </c>
      <c r="I13" s="63">
        <v>24</v>
      </c>
      <c r="J13" s="63">
        <v>16</v>
      </c>
      <c r="K13" s="63">
        <v>24</v>
      </c>
      <c r="L13" s="63">
        <v>60</v>
      </c>
      <c r="M13" s="63">
        <v>80</v>
      </c>
      <c r="N13" s="63">
        <v>24</v>
      </c>
      <c r="O13" s="63">
        <v>8</v>
      </c>
      <c r="P13" s="63">
        <v>24</v>
      </c>
      <c r="Q13" s="63">
        <v>0</v>
      </c>
      <c r="R13" s="63">
        <v>24</v>
      </c>
      <c r="S13" s="64">
        <f t="shared" si="0"/>
        <v>608</v>
      </c>
      <c r="T13" s="18">
        <f>(D13*'Xodimlar va Soat narxi'!N5+E13*'Xodimlar va Soat narxi'!N6+F13*'Xodimlar va Soat narxi'!N8+G13*'Xodimlar va Soat narxi'!N9+H13*'Xodimlar va Soat narxi'!N10+I13*'Xodimlar va Soat narxi'!N11+J13*'Xodimlar va Soat narxi'!N13+K13*'Xodimlar va Soat narxi'!N14+L13*'Xodimlar va Soat narxi'!N16+M13*'Xodimlar va Soat narxi'!N17+N13*'Xodimlar va Soat narxi'!N19+O13*'Xodimlar va Soat narxi'!N20+P13*'Xodimlar va Soat narxi'!N22+Q13*'Xodimlar va Soat narxi'!N24+R13*'Xodimlar va Soat narxi'!N25)*C13</f>
        <v>143435659.25925925</v>
      </c>
      <c r="U13" s="16">
        <f>T13/Settings!$B$4</f>
        <v>11162.308113561032</v>
      </c>
    </row>
    <row r="14" spans="1:21" x14ac:dyDescent="0.2">
      <c r="A14" s="19">
        <v>11</v>
      </c>
      <c r="B14" s="19" t="s">
        <v>109</v>
      </c>
      <c r="C14" s="59">
        <v>1.1499999999999999</v>
      </c>
      <c r="D14" s="60">
        <v>160</v>
      </c>
      <c r="E14" s="60">
        <v>80</v>
      </c>
      <c r="F14" s="60">
        <v>60</v>
      </c>
      <c r="G14" s="60">
        <v>120</v>
      </c>
      <c r="H14" s="60">
        <v>120</v>
      </c>
      <c r="I14" s="60">
        <v>80</v>
      </c>
      <c r="J14" s="60">
        <v>40</v>
      </c>
      <c r="K14" s="60">
        <v>0</v>
      </c>
      <c r="L14" s="60">
        <v>60</v>
      </c>
      <c r="M14" s="60">
        <v>0</v>
      </c>
      <c r="N14" s="60">
        <v>16</v>
      </c>
      <c r="O14" s="60">
        <v>40</v>
      </c>
      <c r="P14" s="60">
        <v>16</v>
      </c>
      <c r="Q14" s="60">
        <v>40</v>
      </c>
      <c r="R14" s="60">
        <v>16</v>
      </c>
      <c r="S14" s="61">
        <f t="shared" si="0"/>
        <v>848</v>
      </c>
      <c r="T14" s="24">
        <f>(D14*'Xodimlar va Soat narxi'!N5+E14*'Xodimlar va Soat narxi'!N6+F14*'Xodimlar va Soat narxi'!N8+G14*'Xodimlar va Soat narxi'!N9+H14*'Xodimlar va Soat narxi'!N10+I14*'Xodimlar va Soat narxi'!N11+J14*'Xodimlar va Soat narxi'!N13+K14*'Xodimlar va Soat narxi'!N14+L14*'Xodimlar va Soat narxi'!N16+M14*'Xodimlar va Soat narxi'!N17+N14*'Xodimlar va Soat narxi'!N19+O14*'Xodimlar va Soat narxi'!N20+P14*'Xodimlar va Soat narxi'!N22+Q14*'Xodimlar va Soat narxi'!N24+R14*'Xodimlar va Soat narxi'!N25)*C14</f>
        <v>208851608.41750842</v>
      </c>
      <c r="U14" s="22">
        <f>T14/Settings!$B$4</f>
        <v>16253.043456615442</v>
      </c>
    </row>
    <row r="15" spans="1:21" x14ac:dyDescent="0.2">
      <c r="A15" s="13">
        <v>12</v>
      </c>
      <c r="B15" s="13" t="s">
        <v>117</v>
      </c>
      <c r="C15" s="62">
        <v>1</v>
      </c>
      <c r="D15" s="63">
        <v>24</v>
      </c>
      <c r="E15" s="63">
        <v>40</v>
      </c>
      <c r="F15" s="63">
        <v>160</v>
      </c>
      <c r="G15" s="63">
        <v>120</v>
      </c>
      <c r="H15" s="63">
        <v>120</v>
      </c>
      <c r="I15" s="63">
        <v>24</v>
      </c>
      <c r="J15" s="63">
        <v>80</v>
      </c>
      <c r="K15" s="63">
        <v>24</v>
      </c>
      <c r="L15" s="63">
        <v>60</v>
      </c>
      <c r="M15" s="63">
        <v>0</v>
      </c>
      <c r="N15" s="63">
        <v>0</v>
      </c>
      <c r="O15" s="63">
        <v>16</v>
      </c>
      <c r="P15" s="63">
        <v>40</v>
      </c>
      <c r="Q15" s="63">
        <v>60</v>
      </c>
      <c r="R15" s="63">
        <v>24</v>
      </c>
      <c r="S15" s="64">
        <f t="shared" si="0"/>
        <v>792</v>
      </c>
      <c r="T15" s="18">
        <f>(D15*'Xodimlar va Soat narxi'!N5+E15*'Xodimlar va Soat narxi'!N6+F15*'Xodimlar va Soat narxi'!N8+G15*'Xodimlar va Soat narxi'!N9+H15*'Xodimlar va Soat narxi'!N10+I15*'Xodimlar va Soat narxi'!N11+J15*'Xodimlar va Soat narxi'!N13+K15*'Xodimlar va Soat narxi'!N14+L15*'Xodimlar va Soat narxi'!N16+M15*'Xodimlar va Soat narxi'!N17+N15*'Xodimlar va Soat narxi'!N19+O15*'Xodimlar va Soat narxi'!N20+P15*'Xodimlar va Soat narxi'!N22+Q15*'Xodimlar va Soat narxi'!N24+R15*'Xodimlar va Soat narxi'!N25)*C15</f>
        <v>173129333.33333334</v>
      </c>
      <c r="U15" s="16">
        <f>T15/Settings!$B$4</f>
        <v>13473.099870298314</v>
      </c>
    </row>
    <row r="16" spans="1:21" x14ac:dyDescent="0.2">
      <c r="A16" s="19">
        <v>13</v>
      </c>
      <c r="B16" s="19" t="s">
        <v>125</v>
      </c>
      <c r="C16" s="59">
        <v>1.1499999999999999</v>
      </c>
      <c r="D16" s="60">
        <v>40</v>
      </c>
      <c r="E16" s="60">
        <v>120</v>
      </c>
      <c r="F16" s="60">
        <v>80</v>
      </c>
      <c r="G16" s="60">
        <v>160</v>
      </c>
      <c r="H16" s="60">
        <v>80</v>
      </c>
      <c r="I16" s="60">
        <v>24</v>
      </c>
      <c r="J16" s="60">
        <v>40</v>
      </c>
      <c r="K16" s="60">
        <v>24</v>
      </c>
      <c r="L16" s="60">
        <v>40</v>
      </c>
      <c r="M16" s="60">
        <v>24</v>
      </c>
      <c r="N16" s="60">
        <v>8</v>
      </c>
      <c r="O16" s="60">
        <v>40</v>
      </c>
      <c r="P16" s="60">
        <v>0</v>
      </c>
      <c r="Q16" s="60">
        <v>8</v>
      </c>
      <c r="R16" s="60">
        <v>16</v>
      </c>
      <c r="S16" s="61">
        <f t="shared" si="0"/>
        <v>704</v>
      </c>
      <c r="T16" s="24">
        <f>(D16*'Xodimlar va Soat narxi'!N5+E16*'Xodimlar va Soat narxi'!N6+F16*'Xodimlar va Soat narxi'!N8+G16*'Xodimlar va Soat narxi'!N9+H16*'Xodimlar va Soat narxi'!N10+I16*'Xodimlar va Soat narxi'!N11+J16*'Xodimlar va Soat narxi'!N13+K16*'Xodimlar va Soat narxi'!N14+L16*'Xodimlar va Soat narxi'!N16+M16*'Xodimlar va Soat narxi'!N17+N16*'Xodimlar va Soat narxi'!N19+O16*'Xodimlar va Soat narxi'!N20+P16*'Xodimlar va Soat narxi'!N22+Q16*'Xodimlar va Soat narxi'!N24+R16*'Xodimlar va Soat narxi'!N25)*C16</f>
        <v>173688929.62962964</v>
      </c>
      <c r="U16" s="22">
        <f>T16/Settings!$B$4</f>
        <v>13516.648220204641</v>
      </c>
    </row>
    <row r="17" spans="1:21" x14ac:dyDescent="0.2">
      <c r="A17" s="13">
        <v>14</v>
      </c>
      <c r="B17" s="13" t="s">
        <v>135</v>
      </c>
      <c r="C17" s="62">
        <v>1.2</v>
      </c>
      <c r="D17" s="63">
        <v>160</v>
      </c>
      <c r="E17" s="63">
        <v>80</v>
      </c>
      <c r="F17" s="63">
        <v>60</v>
      </c>
      <c r="G17" s="63">
        <v>160</v>
      </c>
      <c r="H17" s="63">
        <v>80</v>
      </c>
      <c r="I17" s="63">
        <v>120</v>
      </c>
      <c r="J17" s="63">
        <v>0</v>
      </c>
      <c r="K17" s="63">
        <v>40</v>
      </c>
      <c r="L17" s="63">
        <v>0</v>
      </c>
      <c r="M17" s="63">
        <v>24</v>
      </c>
      <c r="N17" s="63">
        <v>8</v>
      </c>
      <c r="O17" s="63">
        <v>8</v>
      </c>
      <c r="P17" s="63">
        <v>0</v>
      </c>
      <c r="Q17" s="63">
        <v>24</v>
      </c>
      <c r="R17" s="63">
        <v>40</v>
      </c>
      <c r="S17" s="64">
        <f t="shared" si="0"/>
        <v>804</v>
      </c>
      <c r="T17" s="18">
        <f>(D17*'Xodimlar va Soat narxi'!N5+E17*'Xodimlar va Soat narxi'!N6+F17*'Xodimlar va Soat narxi'!N8+G17*'Xodimlar va Soat narxi'!N9+H17*'Xodimlar va Soat narxi'!N10+I17*'Xodimlar va Soat narxi'!N11+J17*'Xodimlar va Soat narxi'!N13+K17*'Xodimlar va Soat narxi'!N14+L17*'Xodimlar va Soat narxi'!N16+M17*'Xodimlar va Soat narxi'!N17+N17*'Xodimlar va Soat narxi'!N19+O17*'Xodimlar va Soat narxi'!N20+P17*'Xodimlar va Soat narxi'!N22+Q17*'Xodimlar va Soat narxi'!N24+R17*'Xodimlar va Soat narxi'!N25)*C17</f>
        <v>208876733.33333334</v>
      </c>
      <c r="U17" s="16">
        <f>T17/Settings!$B$4</f>
        <v>16254.998702983139</v>
      </c>
    </row>
    <row r="18" spans="1:21" x14ac:dyDescent="0.2">
      <c r="A18" s="19">
        <v>15</v>
      </c>
      <c r="B18" s="19" t="s">
        <v>142</v>
      </c>
      <c r="C18" s="59">
        <v>1</v>
      </c>
      <c r="D18" s="60">
        <v>160</v>
      </c>
      <c r="E18" s="60">
        <v>120</v>
      </c>
      <c r="F18" s="60">
        <v>80</v>
      </c>
      <c r="G18" s="60">
        <v>80</v>
      </c>
      <c r="H18" s="60">
        <v>24</v>
      </c>
      <c r="I18" s="60">
        <v>40</v>
      </c>
      <c r="J18" s="60">
        <v>60</v>
      </c>
      <c r="K18" s="60">
        <v>24</v>
      </c>
      <c r="L18" s="60">
        <v>60</v>
      </c>
      <c r="M18" s="60">
        <v>40</v>
      </c>
      <c r="N18" s="60">
        <v>40</v>
      </c>
      <c r="O18" s="60">
        <v>16</v>
      </c>
      <c r="P18" s="60">
        <v>0</v>
      </c>
      <c r="Q18" s="60">
        <v>8</v>
      </c>
      <c r="R18" s="60">
        <v>16</v>
      </c>
      <c r="S18" s="61">
        <f t="shared" si="0"/>
        <v>768</v>
      </c>
      <c r="T18" s="24">
        <f>(D18*'Xodimlar va Soat narxi'!N5+E18*'Xodimlar va Soat narxi'!N6+F18*'Xodimlar va Soat narxi'!N8+G18*'Xodimlar va Soat narxi'!N9+H18*'Xodimlar va Soat narxi'!N10+I18*'Xodimlar va Soat narxi'!N11+J18*'Xodimlar va Soat narxi'!N13+K18*'Xodimlar va Soat narxi'!N14+L18*'Xodimlar va Soat narxi'!N16+M18*'Xodimlar va Soat narxi'!N17+N18*'Xodimlar va Soat narxi'!N19+O18*'Xodimlar va Soat narxi'!N20+P18*'Xodimlar va Soat narxi'!N22+Q18*'Xodimlar va Soat narxi'!N24+R18*'Xodimlar va Soat narxi'!N25)*C18</f>
        <v>166652383.83838385</v>
      </c>
      <c r="U18" s="22">
        <f>T18/Settings!$B$4</f>
        <v>12969.057108045436</v>
      </c>
    </row>
    <row r="19" spans="1:21" x14ac:dyDescent="0.2">
      <c r="A19" s="13">
        <v>16</v>
      </c>
      <c r="B19" s="13" t="s">
        <v>151</v>
      </c>
      <c r="C19" s="62">
        <v>1.3</v>
      </c>
      <c r="D19" s="63">
        <v>40</v>
      </c>
      <c r="E19" s="63">
        <v>60</v>
      </c>
      <c r="F19" s="63">
        <v>80</v>
      </c>
      <c r="G19" s="63">
        <v>160</v>
      </c>
      <c r="H19" s="63">
        <v>80</v>
      </c>
      <c r="I19" s="63">
        <v>24</v>
      </c>
      <c r="J19" s="63">
        <v>0</v>
      </c>
      <c r="K19" s="63">
        <v>80</v>
      </c>
      <c r="L19" s="63">
        <v>60</v>
      </c>
      <c r="M19" s="63">
        <v>16</v>
      </c>
      <c r="N19" s="63">
        <v>40</v>
      </c>
      <c r="O19" s="63">
        <v>0</v>
      </c>
      <c r="P19" s="63">
        <v>16</v>
      </c>
      <c r="Q19" s="63">
        <v>40</v>
      </c>
      <c r="R19" s="63">
        <v>0</v>
      </c>
      <c r="S19" s="64">
        <f t="shared" si="0"/>
        <v>696</v>
      </c>
      <c r="T19" s="18">
        <f>(D19*'Xodimlar va Soat narxi'!N5+E19*'Xodimlar va Soat narxi'!N6+F19*'Xodimlar va Soat narxi'!N8+G19*'Xodimlar va Soat narxi'!N9+H19*'Xodimlar va Soat narxi'!N10+I19*'Xodimlar va Soat narxi'!N11+J19*'Xodimlar va Soat narxi'!N13+K19*'Xodimlar va Soat narxi'!N14+L19*'Xodimlar va Soat narxi'!N16+M19*'Xodimlar va Soat narxi'!N17+N19*'Xodimlar va Soat narxi'!N19+O19*'Xodimlar va Soat narxi'!N20+P19*'Xodimlar va Soat narxi'!N22+Q19*'Xodimlar va Soat narxi'!N24+R19*'Xodimlar va Soat narxi'!N25)*C19</f>
        <v>194062450.50505054</v>
      </c>
      <c r="U19" s="16">
        <f>T19/Settings!$B$4</f>
        <v>15102.136226073972</v>
      </c>
    </row>
    <row r="20" spans="1:21" x14ac:dyDescent="0.2">
      <c r="A20" s="19">
        <v>17</v>
      </c>
      <c r="B20" s="19" t="s">
        <v>158</v>
      </c>
      <c r="C20" s="59">
        <v>1.3</v>
      </c>
      <c r="D20" s="60">
        <v>80</v>
      </c>
      <c r="E20" s="60">
        <v>24</v>
      </c>
      <c r="F20" s="60">
        <v>40</v>
      </c>
      <c r="G20" s="60">
        <v>24</v>
      </c>
      <c r="H20" s="60">
        <v>80</v>
      </c>
      <c r="I20" s="60">
        <v>24</v>
      </c>
      <c r="J20" s="60">
        <v>80</v>
      </c>
      <c r="K20" s="60">
        <v>16</v>
      </c>
      <c r="L20" s="60">
        <v>40</v>
      </c>
      <c r="M20" s="60">
        <v>80</v>
      </c>
      <c r="N20" s="60">
        <v>8</v>
      </c>
      <c r="O20" s="60">
        <v>24</v>
      </c>
      <c r="P20" s="60">
        <v>60</v>
      </c>
      <c r="Q20" s="60">
        <v>16</v>
      </c>
      <c r="R20" s="60">
        <v>24</v>
      </c>
      <c r="S20" s="61">
        <f t="shared" si="0"/>
        <v>620</v>
      </c>
      <c r="T20" s="24">
        <f>(D20*'Xodimlar va Soat narxi'!N5+E20*'Xodimlar va Soat narxi'!N6+F20*'Xodimlar va Soat narxi'!N8+G20*'Xodimlar va Soat narxi'!N9+H20*'Xodimlar va Soat narxi'!N10+I20*'Xodimlar va Soat narxi'!N11+J20*'Xodimlar va Soat narxi'!N13+K20*'Xodimlar va Soat narxi'!N14+L20*'Xodimlar va Soat narxi'!N16+M20*'Xodimlar va Soat narxi'!N17+N20*'Xodimlar va Soat narxi'!N19+O20*'Xodimlar va Soat narxi'!N20+P20*'Xodimlar va Soat narxi'!N22+Q20*'Xodimlar va Soat narxi'!N24+R20*'Xodimlar va Soat narxi'!N25)*C20</f>
        <v>163768955.38720539</v>
      </c>
      <c r="U20" s="22">
        <f>T20/Settings!$B$4</f>
        <v>12744.66578888758</v>
      </c>
    </row>
    <row r="21" spans="1:21" x14ac:dyDescent="0.2">
      <c r="A21" s="13">
        <v>18</v>
      </c>
      <c r="B21" s="13" t="s">
        <v>168</v>
      </c>
      <c r="C21" s="62">
        <v>1.2</v>
      </c>
      <c r="D21" s="63">
        <v>80</v>
      </c>
      <c r="E21" s="63">
        <v>40</v>
      </c>
      <c r="F21" s="63">
        <v>80</v>
      </c>
      <c r="G21" s="63">
        <v>120</v>
      </c>
      <c r="H21" s="63">
        <v>40</v>
      </c>
      <c r="I21" s="63">
        <v>80</v>
      </c>
      <c r="J21" s="63">
        <v>16</v>
      </c>
      <c r="K21" s="63">
        <v>60</v>
      </c>
      <c r="L21" s="63">
        <v>60</v>
      </c>
      <c r="M21" s="63">
        <v>80</v>
      </c>
      <c r="N21" s="63">
        <v>0</v>
      </c>
      <c r="O21" s="63">
        <v>0</v>
      </c>
      <c r="P21" s="63">
        <v>16</v>
      </c>
      <c r="Q21" s="63">
        <v>24</v>
      </c>
      <c r="R21" s="63">
        <v>16</v>
      </c>
      <c r="S21" s="64">
        <f t="shared" si="0"/>
        <v>712</v>
      </c>
      <c r="T21" s="18">
        <f>(D21*'Xodimlar va Soat narxi'!N5+E21*'Xodimlar va Soat narxi'!N6+F21*'Xodimlar va Soat narxi'!N8+G21*'Xodimlar va Soat narxi'!N9+H21*'Xodimlar va Soat narxi'!N10+I21*'Xodimlar va Soat narxi'!N11+J21*'Xodimlar va Soat narxi'!N13+K21*'Xodimlar va Soat narxi'!N14+L21*'Xodimlar va Soat narxi'!N16+M21*'Xodimlar va Soat narxi'!N17+N21*'Xodimlar va Soat narxi'!N19+O21*'Xodimlar va Soat narxi'!N20+P21*'Xodimlar va Soat narxi'!N22+Q21*'Xodimlar va Soat narxi'!N24+R21*'Xodimlar va Soat narxi'!N25)*C21</f>
        <v>181047038.38383839</v>
      </c>
      <c r="U21" s="16">
        <f>T21/Settings!$B$4</f>
        <v>14089.26368745824</v>
      </c>
    </row>
    <row r="22" spans="1:21" x14ac:dyDescent="0.2">
      <c r="A22" s="19">
        <v>19</v>
      </c>
      <c r="B22" s="19" t="s">
        <v>176</v>
      </c>
      <c r="C22" s="59">
        <v>1.3</v>
      </c>
      <c r="D22" s="60">
        <v>60</v>
      </c>
      <c r="E22" s="60">
        <v>24</v>
      </c>
      <c r="F22" s="60">
        <v>60</v>
      </c>
      <c r="G22" s="60">
        <v>160</v>
      </c>
      <c r="H22" s="60">
        <v>60</v>
      </c>
      <c r="I22" s="60">
        <v>120</v>
      </c>
      <c r="J22" s="60">
        <v>60</v>
      </c>
      <c r="K22" s="60">
        <v>80</v>
      </c>
      <c r="L22" s="60">
        <v>40</v>
      </c>
      <c r="M22" s="60">
        <v>16</v>
      </c>
      <c r="N22" s="60">
        <v>16</v>
      </c>
      <c r="O22" s="60">
        <v>24</v>
      </c>
      <c r="P22" s="60">
        <v>24</v>
      </c>
      <c r="Q22" s="60">
        <v>16</v>
      </c>
      <c r="R22" s="60">
        <v>16</v>
      </c>
      <c r="S22" s="61">
        <f t="shared" si="0"/>
        <v>776</v>
      </c>
      <c r="T22" s="24">
        <f>(D22*'Xodimlar va Soat narxi'!N5+E22*'Xodimlar va Soat narxi'!N6+F22*'Xodimlar va Soat narxi'!N8+G22*'Xodimlar va Soat narxi'!N9+H22*'Xodimlar va Soat narxi'!N10+I22*'Xodimlar va Soat narxi'!N11+J22*'Xodimlar va Soat narxi'!N13+K22*'Xodimlar va Soat narxi'!N14+L22*'Xodimlar va Soat narxi'!N16+M22*'Xodimlar va Soat narxi'!N17+N22*'Xodimlar va Soat narxi'!N19+O22*'Xodimlar va Soat narxi'!N20+P22*'Xodimlar va Soat narxi'!N22+Q22*'Xodimlar va Soat narxi'!N24+R22*'Xodimlar va Soat narxi'!N25)*C22</f>
        <v>209935428.61952859</v>
      </c>
      <c r="U22" s="22">
        <f>T22/Settings!$B$4</f>
        <v>16337.387441208451</v>
      </c>
    </row>
    <row r="23" spans="1:21" x14ac:dyDescent="0.2">
      <c r="A23" s="13">
        <v>20</v>
      </c>
      <c r="B23" s="13" t="s">
        <v>183</v>
      </c>
      <c r="C23" s="62">
        <v>1.3</v>
      </c>
      <c r="D23" s="63">
        <v>120</v>
      </c>
      <c r="E23" s="63">
        <v>80</v>
      </c>
      <c r="F23" s="63">
        <v>80</v>
      </c>
      <c r="G23" s="63">
        <v>60</v>
      </c>
      <c r="H23" s="63">
        <v>40</v>
      </c>
      <c r="I23" s="63">
        <v>160</v>
      </c>
      <c r="J23" s="63">
        <v>16</v>
      </c>
      <c r="K23" s="63">
        <v>60</v>
      </c>
      <c r="L23" s="63">
        <v>40</v>
      </c>
      <c r="M23" s="63">
        <v>16</v>
      </c>
      <c r="N23" s="63">
        <v>16</v>
      </c>
      <c r="O23" s="63">
        <v>0</v>
      </c>
      <c r="P23" s="63">
        <v>16</v>
      </c>
      <c r="Q23" s="63">
        <v>60</v>
      </c>
      <c r="R23" s="63">
        <v>24</v>
      </c>
      <c r="S23" s="64">
        <f t="shared" si="0"/>
        <v>788</v>
      </c>
      <c r="T23" s="18">
        <f>(D23*'Xodimlar va Soat narxi'!N5+E23*'Xodimlar va Soat narxi'!N6+F23*'Xodimlar va Soat narxi'!N8+G23*'Xodimlar va Soat narxi'!N9+H23*'Xodimlar va Soat narxi'!N10+I23*'Xodimlar va Soat narxi'!N11+J23*'Xodimlar va Soat narxi'!N13+K23*'Xodimlar va Soat narxi'!N14+L23*'Xodimlar va Soat narxi'!N16+M23*'Xodimlar va Soat narxi'!N17+N23*'Xodimlar va Soat narxi'!N19+O23*'Xodimlar va Soat narxi'!N20+P23*'Xodimlar va Soat narxi'!N22+Q23*'Xodimlar va Soat narxi'!N24+R23*'Xodimlar va Soat narxi'!N25)*C23</f>
        <v>217323650.33670032</v>
      </c>
      <c r="U23" s="16">
        <f>T23/Settings!$B$4</f>
        <v>16912.346329704305</v>
      </c>
    </row>
    <row r="24" spans="1:21" x14ac:dyDescent="0.2">
      <c r="A24" s="19"/>
      <c r="B24" s="19" t="s">
        <v>873</v>
      </c>
      <c r="C24" s="19"/>
      <c r="D24" s="61">
        <f t="shared" ref="D24:U24" si="1">SUM(D4:D23)</f>
        <v>1684</v>
      </c>
      <c r="E24" s="61">
        <f t="shared" si="1"/>
        <v>1548</v>
      </c>
      <c r="F24" s="61">
        <f t="shared" si="1"/>
        <v>1524</v>
      </c>
      <c r="G24" s="61">
        <f t="shared" si="1"/>
        <v>1740</v>
      </c>
      <c r="H24" s="61">
        <f t="shared" si="1"/>
        <v>1496</v>
      </c>
      <c r="I24" s="61">
        <f t="shared" si="1"/>
        <v>1424</v>
      </c>
      <c r="J24" s="61">
        <f t="shared" si="1"/>
        <v>648</v>
      </c>
      <c r="K24" s="61">
        <f t="shared" si="1"/>
        <v>652</v>
      </c>
      <c r="L24" s="61">
        <f t="shared" si="1"/>
        <v>1044</v>
      </c>
      <c r="M24" s="61">
        <f t="shared" si="1"/>
        <v>812</v>
      </c>
      <c r="N24" s="61">
        <f t="shared" si="1"/>
        <v>336</v>
      </c>
      <c r="O24" s="61">
        <f t="shared" si="1"/>
        <v>264</v>
      </c>
      <c r="P24" s="61">
        <f t="shared" si="1"/>
        <v>440</v>
      </c>
      <c r="Q24" s="61">
        <f t="shared" si="1"/>
        <v>480</v>
      </c>
      <c r="R24" s="61">
        <f t="shared" si="1"/>
        <v>516</v>
      </c>
      <c r="S24" s="24">
        <f t="shared" si="1"/>
        <v>14608</v>
      </c>
      <c r="T24" s="24">
        <f t="shared" si="1"/>
        <v>3611627624.7474751</v>
      </c>
      <c r="U24" s="24">
        <f t="shared" si="1"/>
        <v>281060.51554455061</v>
      </c>
    </row>
  </sheetData>
  <autoFilter ref="A3:U24" xr:uid="{00000000-0009-0000-0000-000005000000}"/>
  <mergeCells count="1">
    <mergeCell ref="A1:U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A89A"/>
  </sheetPr>
  <dimension ref="A1:X55"/>
  <sheetViews>
    <sheetView zoomScaleNormal="100" workbookViewId="0">
      <selection sqref="A1:X1"/>
    </sheetView>
  </sheetViews>
  <sheetFormatPr baseColWidth="10" defaultColWidth="8.6640625" defaultRowHeight="15" x14ac:dyDescent="0.2"/>
  <cols>
    <col min="1" max="1" width="5" customWidth="1"/>
    <col min="2" max="2" width="24" customWidth="1"/>
    <col min="3" max="3" width="14" customWidth="1"/>
    <col min="4" max="8" width="13" customWidth="1"/>
    <col min="9" max="9" width="3" customWidth="1"/>
    <col min="10" max="10" width="14" customWidth="1"/>
    <col min="11" max="15" width="13" customWidth="1"/>
    <col min="16" max="16" width="3" customWidth="1"/>
    <col min="17" max="17" width="14" customWidth="1"/>
    <col min="18" max="21" width="13" customWidth="1"/>
    <col min="22" max="22" width="12" customWidth="1"/>
    <col min="23" max="23" width="16" customWidth="1"/>
    <col min="24" max="24" width="13" customWidth="1"/>
  </cols>
  <sheetData>
    <row r="1" spans="1:24" ht="19.75" customHeight="1" x14ac:dyDescent="0.2">
      <c r="A1" s="11" t="s">
        <v>874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x14ac:dyDescent="0.2">
      <c r="A2" s="8" t="s">
        <v>875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5" customHeight="1" x14ac:dyDescent="0.2">
      <c r="C3" s="7" t="s">
        <v>876</v>
      </c>
      <c r="D3" s="7"/>
      <c r="E3" s="7"/>
      <c r="F3" s="7"/>
      <c r="G3" s="7"/>
      <c r="H3" s="7"/>
      <c r="J3" s="7" t="s">
        <v>877</v>
      </c>
      <c r="K3" s="7"/>
      <c r="L3" s="7"/>
      <c r="M3" s="7"/>
      <c r="N3" s="7"/>
      <c r="O3" s="7"/>
      <c r="Q3" s="7" t="s">
        <v>878</v>
      </c>
      <c r="R3" s="7"/>
      <c r="S3" s="7"/>
      <c r="T3" s="7"/>
      <c r="U3" s="7"/>
      <c r="V3" s="7"/>
      <c r="W3" s="7"/>
      <c r="X3" s="7"/>
    </row>
    <row r="4" spans="1:24" ht="29" x14ac:dyDescent="0.2">
      <c r="A4" s="19" t="s">
        <v>879</v>
      </c>
      <c r="B4" s="19" t="s">
        <v>853</v>
      </c>
      <c r="C4" s="65" t="s">
        <v>880</v>
      </c>
      <c r="D4" s="65" t="s">
        <v>881</v>
      </c>
      <c r="E4" s="65" t="s">
        <v>882</v>
      </c>
      <c r="F4" s="65" t="s">
        <v>883</v>
      </c>
      <c r="G4" s="65" t="s">
        <v>884</v>
      </c>
      <c r="H4" s="65" t="s">
        <v>885</v>
      </c>
      <c r="I4" s="19"/>
      <c r="J4" s="65" t="s">
        <v>886</v>
      </c>
      <c r="K4" s="65" t="s">
        <v>887</v>
      </c>
      <c r="L4" s="65" t="s">
        <v>888</v>
      </c>
      <c r="M4" s="65" t="s">
        <v>889</v>
      </c>
      <c r="N4" s="65" t="s">
        <v>890</v>
      </c>
      <c r="O4" s="65" t="s">
        <v>891</v>
      </c>
      <c r="P4" s="19"/>
      <c r="Q4" s="65" t="s">
        <v>892</v>
      </c>
      <c r="R4" s="65" t="s">
        <v>893</v>
      </c>
      <c r="S4" s="65" t="s">
        <v>894</v>
      </c>
      <c r="T4" s="65" t="s">
        <v>895</v>
      </c>
      <c r="U4" s="65" t="s">
        <v>896</v>
      </c>
      <c r="V4" s="65" t="s">
        <v>897</v>
      </c>
      <c r="W4" s="65" t="s">
        <v>898</v>
      </c>
      <c r="X4" s="19" t="s">
        <v>899</v>
      </c>
    </row>
    <row r="5" spans="1:24" x14ac:dyDescent="0.2">
      <c r="A5" s="13">
        <v>1</v>
      </c>
      <c r="B5" s="66" t="str">
        <f>'Proekt vaqt va Risk'!B4</f>
        <v>Toshkent City Tower</v>
      </c>
      <c r="C5" s="13">
        <v>8</v>
      </c>
      <c r="D5" s="44">
        <v>800</v>
      </c>
      <c r="E5" s="16">
        <f>D5*'Xodimlar va Soat narxi'!N36*'Proekt vaqt va Risk'!C4</f>
        <v>177864814.81481484</v>
      </c>
      <c r="F5" s="16">
        <f>E5/Settings!$B$4</f>
        <v>13841.61982994668</v>
      </c>
      <c r="G5" s="44">
        <v>59271717</v>
      </c>
      <c r="H5" s="18">
        <f t="shared" ref="H5:H24" si="0">E5+G5</f>
        <v>237136531.81481484</v>
      </c>
      <c r="I5" s="13"/>
      <c r="J5" s="66">
        <f>COUNTIF('Proekt vaqt va Risk'!D4:R4,"&gt;0")</f>
        <v>15</v>
      </c>
      <c r="K5" s="16">
        <f>'Proekt vaqt va Risk'!S4</f>
        <v>936</v>
      </c>
      <c r="L5" s="16">
        <f>'Proekt vaqt va Risk'!T4</f>
        <v>216016133.33333334</v>
      </c>
      <c r="M5" s="16">
        <f>'Proekt vaqt va Risk'!U4</f>
        <v>16810.594033722438</v>
      </c>
      <c r="N5" s="18">
        <f>SUMPRODUCT(('Tushum va Harajatlar'!B3:B275="PRJ-001")*('Tushum va Harajatlar'!R3:R275="Outsourcing")*'Tushum va Harajatlar'!N3:N275)</f>
        <v>76059412</v>
      </c>
      <c r="O5" s="18">
        <f t="shared" ref="O5:O24" si="1">L5+N5</f>
        <v>292075545.33333337</v>
      </c>
      <c r="P5" s="13"/>
      <c r="Q5" s="67">
        <f t="shared" ref="Q5:Q24" si="2">C5-J5</f>
        <v>-7</v>
      </c>
      <c r="R5" s="18">
        <f t="shared" ref="R5:R24" si="3">D5-K5</f>
        <v>-136</v>
      </c>
      <c r="S5" s="18">
        <f t="shared" ref="S5:S24" si="4">E5-L5</f>
        <v>-38151318.518518507</v>
      </c>
      <c r="T5" s="18">
        <f t="shared" ref="T5:T24" si="5">G5-N5</f>
        <v>-16787695</v>
      </c>
      <c r="U5" s="18">
        <f t="shared" ref="U5:U24" si="6">H5-O5</f>
        <v>-54939013.518518537</v>
      </c>
      <c r="V5" s="68">
        <f t="shared" ref="V5:V25" si="7">IF(H5=0,0,(H5-O5)/H5)</f>
        <v>-0.23167671846285426</v>
      </c>
      <c r="W5" s="67" t="str">
        <f t="shared" ref="W5:W24" si="8">IF(V5&gt;0.1,"✅ Byudjet ichida",IF(V5&gt;-0.05,"⚠️ Chegarada","❌ Oshgan"))</f>
        <v>❌ Oshgan</v>
      </c>
      <c r="X5" s="13"/>
    </row>
    <row r="6" spans="1:24" x14ac:dyDescent="0.2">
      <c r="A6" s="19">
        <v>2</v>
      </c>
      <c r="B6" s="69" t="str">
        <f>'Proekt vaqt va Risk'!B5</f>
        <v>Samarqand Hotel</v>
      </c>
      <c r="C6" s="19">
        <v>7</v>
      </c>
      <c r="D6" s="45">
        <v>400</v>
      </c>
      <c r="E6" s="22">
        <f>D6*'Xodimlar va Soat narxi'!N36*'Proekt vaqt va Risk'!C5</f>
        <v>92974789.562289566</v>
      </c>
      <c r="F6" s="22">
        <f>E6/Settings!$B$4</f>
        <v>7235.3921838357637</v>
      </c>
      <c r="G6" s="45">
        <v>95079000</v>
      </c>
      <c r="H6" s="24">
        <f t="shared" si="0"/>
        <v>188053789.56228957</v>
      </c>
      <c r="I6" s="19"/>
      <c r="J6" s="69">
        <f>COUNTIF('Proekt vaqt va Risk'!D5:R5,"&gt;0")</f>
        <v>13</v>
      </c>
      <c r="K6" s="22">
        <f>'Proekt vaqt va Risk'!S5</f>
        <v>664</v>
      </c>
      <c r="L6" s="22">
        <f>'Proekt vaqt va Risk'!T5</f>
        <v>154944200.67340067</v>
      </c>
      <c r="M6" s="22">
        <f>'Proekt vaqt va Risk'!U5</f>
        <v>12057.91444929188</v>
      </c>
      <c r="N6" s="24">
        <f>SUMPRODUCT(('Tushum va Harajatlar'!B3:B275="PRJ-002")*('Tushum va Harajatlar'!R3:R275="Outsourcing")*'Tushum va Harajatlar'!N3:N275)</f>
        <v>162597872</v>
      </c>
      <c r="O6" s="24">
        <f t="shared" si="1"/>
        <v>317542072.67340064</v>
      </c>
      <c r="P6" s="19"/>
      <c r="Q6" s="70">
        <f t="shared" si="2"/>
        <v>-6</v>
      </c>
      <c r="R6" s="24">
        <f t="shared" si="3"/>
        <v>-264</v>
      </c>
      <c r="S6" s="24">
        <f t="shared" si="4"/>
        <v>-61969411.111111104</v>
      </c>
      <c r="T6" s="24">
        <f t="shared" si="5"/>
        <v>-67518872</v>
      </c>
      <c r="U6" s="24">
        <f t="shared" si="6"/>
        <v>-129488283.11111107</v>
      </c>
      <c r="V6" s="71">
        <f t="shared" si="7"/>
        <v>-0.68857045323311772</v>
      </c>
      <c r="W6" s="70" t="str">
        <f t="shared" si="8"/>
        <v>❌ Oshgan</v>
      </c>
      <c r="X6" s="19"/>
    </row>
    <row r="7" spans="1:24" x14ac:dyDescent="0.2">
      <c r="A7" s="13">
        <v>3</v>
      </c>
      <c r="B7" s="66" t="str">
        <f>'Proekt vaqt va Risk'!B6</f>
        <v>Buxoro Madaniyat Markazi</v>
      </c>
      <c r="C7" s="13">
        <v>12</v>
      </c>
      <c r="D7" s="44">
        <v>1200</v>
      </c>
      <c r="E7" s="16">
        <f>D7*'Xodimlar va Soat narxi'!N36*'Proekt vaqt va Risk'!C6</f>
        <v>291051515.15151513</v>
      </c>
      <c r="F7" s="16">
        <f>E7/Settings!$B$4</f>
        <v>22649.923358094562</v>
      </c>
      <c r="G7" s="44">
        <v>47957684</v>
      </c>
      <c r="H7" s="18">
        <f t="shared" si="0"/>
        <v>339009199.15151513</v>
      </c>
      <c r="I7" s="13"/>
      <c r="J7" s="66">
        <f>COUNTIF('Proekt vaqt va Risk'!D6:R6,"&gt;0")</f>
        <v>12</v>
      </c>
      <c r="K7" s="16">
        <f>'Proekt vaqt va Risk'!S6</f>
        <v>780</v>
      </c>
      <c r="L7" s="16">
        <f>'Proekt vaqt va Risk'!T6</f>
        <v>204317121.21212125</v>
      </c>
      <c r="M7" s="16">
        <f>'Proekt vaqt va Risk'!U6</f>
        <v>15900.165074873248</v>
      </c>
      <c r="N7" s="18">
        <f>SUMPRODUCT(('Tushum va Harajatlar'!B3:B275="PRJ-003")*('Tushum va Harajatlar'!R3:R275="Outsourcing")*'Tushum va Harajatlar'!N3:N275)</f>
        <v>48252202</v>
      </c>
      <c r="O7" s="18">
        <f t="shared" si="1"/>
        <v>252569323.21212125</v>
      </c>
      <c r="P7" s="13"/>
      <c r="Q7" s="67">
        <f t="shared" si="2"/>
        <v>0</v>
      </c>
      <c r="R7" s="18">
        <f t="shared" si="3"/>
        <v>420</v>
      </c>
      <c r="S7" s="18">
        <f t="shared" si="4"/>
        <v>86734393.939393878</v>
      </c>
      <c r="T7" s="18">
        <f t="shared" si="5"/>
        <v>-294518</v>
      </c>
      <c r="U7" s="18">
        <f t="shared" si="6"/>
        <v>86439875.939393878</v>
      </c>
      <c r="V7" s="68">
        <f t="shared" si="7"/>
        <v>0.25497796565915859</v>
      </c>
      <c r="W7" s="67" t="str">
        <f t="shared" si="8"/>
        <v>✅ Byudjet ichida</v>
      </c>
      <c r="X7" s="13"/>
    </row>
    <row r="8" spans="1:24" x14ac:dyDescent="0.2">
      <c r="A8" s="19">
        <v>4</v>
      </c>
      <c r="B8" s="69" t="str">
        <f>'Proekt vaqt va Risk'!B7</f>
        <v>Chilonzor Turar-joy</v>
      </c>
      <c r="C8" s="19">
        <v>12</v>
      </c>
      <c r="D8" s="45">
        <v>1500</v>
      </c>
      <c r="E8" s="22">
        <f>D8*'Xodimlar va Soat narxi'!N36*'Proekt vaqt va Risk'!C7</f>
        <v>394132260.10101014</v>
      </c>
      <c r="F8" s="22">
        <f>E8/Settings!$B$4</f>
        <v>30671.771214086391</v>
      </c>
      <c r="G8" s="45">
        <v>48767064</v>
      </c>
      <c r="H8" s="24">
        <f t="shared" si="0"/>
        <v>442899324.10101014</v>
      </c>
      <c r="I8" s="19"/>
      <c r="J8" s="69">
        <f>COUNTIF('Proekt vaqt va Risk'!D7:R7,"&gt;0")</f>
        <v>13</v>
      </c>
      <c r="K8" s="22">
        <f>'Proekt vaqt va Risk'!S7</f>
        <v>624</v>
      </c>
      <c r="L8" s="22">
        <f>'Proekt vaqt va Risk'!T7</f>
        <v>163087074.74747473</v>
      </c>
      <c r="M8" s="22">
        <f>'Proekt vaqt va Risk'!U7</f>
        <v>12691.601147663403</v>
      </c>
      <c r="N8" s="24">
        <f>SUMPRODUCT(('Tushum va Harajatlar'!B3:B275="PRJ-004")*('Tushum va Harajatlar'!R3:R275="Outsourcing")*'Tushum va Harajatlar'!N3:N275)</f>
        <v>70924194</v>
      </c>
      <c r="O8" s="24">
        <f t="shared" si="1"/>
        <v>234011268.74747473</v>
      </c>
      <c r="P8" s="19"/>
      <c r="Q8" s="70">
        <f t="shared" si="2"/>
        <v>-1</v>
      </c>
      <c r="R8" s="24">
        <f t="shared" si="3"/>
        <v>876</v>
      </c>
      <c r="S8" s="24">
        <f t="shared" si="4"/>
        <v>231045185.35353541</v>
      </c>
      <c r="T8" s="24">
        <f t="shared" si="5"/>
        <v>-22157130</v>
      </c>
      <c r="U8" s="24">
        <f t="shared" si="6"/>
        <v>208888055.35353541</v>
      </c>
      <c r="V8" s="71">
        <f t="shared" si="7"/>
        <v>0.47163778309558951</v>
      </c>
      <c r="W8" s="70" t="str">
        <f t="shared" si="8"/>
        <v>✅ Byudjet ichida</v>
      </c>
      <c r="X8" s="19"/>
    </row>
    <row r="9" spans="1:24" x14ac:dyDescent="0.2">
      <c r="A9" s="13">
        <v>5</v>
      </c>
      <c r="B9" s="66" t="str">
        <f>'Proekt vaqt va Risk'!B8</f>
        <v>Nukus Biznes Markazi</v>
      </c>
      <c r="C9" s="13">
        <v>4</v>
      </c>
      <c r="D9" s="44">
        <v>800</v>
      </c>
      <c r="E9" s="16">
        <f>D9*'Xodimlar va Soat narxi'!N36*'Proekt vaqt va Risk'!C8</f>
        <v>194034343.43434346</v>
      </c>
      <c r="F9" s="16">
        <f>E9/Settings!$B$4</f>
        <v>15099.948905396377</v>
      </c>
      <c r="G9" s="44">
        <v>20077347</v>
      </c>
      <c r="H9" s="18">
        <f t="shared" si="0"/>
        <v>214111690.43434346</v>
      </c>
      <c r="I9" s="13"/>
      <c r="J9" s="66">
        <f>COUNTIF('Proekt vaqt va Risk'!D8:R8,"&gt;0")</f>
        <v>11</v>
      </c>
      <c r="K9" s="16">
        <f>'Proekt vaqt va Risk'!S8</f>
        <v>568</v>
      </c>
      <c r="L9" s="16">
        <f>'Proekt vaqt va Risk'!T8</f>
        <v>141109002.02020204</v>
      </c>
      <c r="M9" s="16">
        <f>'Proekt vaqt va Risk'!U8</f>
        <v>10981.245293400936</v>
      </c>
      <c r="N9" s="18">
        <f>SUMPRODUCT(('Tushum va Harajatlar'!B3:B275="PRJ-005")*('Tushum va Harajatlar'!R3:R275="Outsourcing")*'Tushum va Harajatlar'!N3:N275)</f>
        <v>71355905</v>
      </c>
      <c r="O9" s="18">
        <f t="shared" si="1"/>
        <v>212464907.02020204</v>
      </c>
      <c r="P9" s="13"/>
      <c r="Q9" s="67">
        <f t="shared" si="2"/>
        <v>-7</v>
      </c>
      <c r="R9" s="18">
        <f t="shared" si="3"/>
        <v>232</v>
      </c>
      <c r="S9" s="18">
        <f t="shared" si="4"/>
        <v>52925341.414141417</v>
      </c>
      <c r="T9" s="18">
        <f t="shared" si="5"/>
        <v>-51278558</v>
      </c>
      <c r="U9" s="18">
        <f t="shared" si="6"/>
        <v>1646783.4141414165</v>
      </c>
      <c r="V9" s="68">
        <f t="shared" si="7"/>
        <v>7.691235405226024E-3</v>
      </c>
      <c r="W9" s="67" t="str">
        <f t="shared" si="8"/>
        <v>⚠️ Chegarada</v>
      </c>
      <c r="X9" s="13"/>
    </row>
    <row r="10" spans="1:24" x14ac:dyDescent="0.2">
      <c r="A10" s="19">
        <v>6</v>
      </c>
      <c r="B10" s="69" t="str">
        <f>'Proekt vaqt va Risk'!B9</f>
        <v>Fargona Shopping Mall</v>
      </c>
      <c r="C10" s="19">
        <v>11</v>
      </c>
      <c r="D10" s="45">
        <v>600</v>
      </c>
      <c r="E10" s="22">
        <f>D10*'Xodimlar va Soat narxi'!N36*'Proekt vaqt va Risk'!C9</f>
        <v>133398611.11111112</v>
      </c>
      <c r="F10" s="22">
        <f>E10/Settings!$B$4</f>
        <v>10381.21487246001</v>
      </c>
      <c r="G10" s="45">
        <v>122781663</v>
      </c>
      <c r="H10" s="24">
        <f t="shared" si="0"/>
        <v>256180274.1111111</v>
      </c>
      <c r="I10" s="19"/>
      <c r="J10" s="69">
        <f>COUNTIF('Proekt vaqt va Risk'!D9:R9,"&gt;0")</f>
        <v>14</v>
      </c>
      <c r="K10" s="22">
        <f>'Proekt vaqt va Risk'!S9</f>
        <v>640</v>
      </c>
      <c r="L10" s="22">
        <f>'Proekt vaqt va Risk'!T9</f>
        <v>145794851.85185185</v>
      </c>
      <c r="M10" s="22">
        <f>'Proekt vaqt va Risk'!U9</f>
        <v>11345.902867848394</v>
      </c>
      <c r="N10" s="24">
        <f>SUMPRODUCT(('Tushum va Harajatlar'!B3:B275="PRJ-006")*('Tushum va Harajatlar'!R3:R275="Outsourcing")*'Tushum va Harajatlar'!N3:N275)</f>
        <v>164084955</v>
      </c>
      <c r="O10" s="24">
        <f t="shared" si="1"/>
        <v>309879806.85185182</v>
      </c>
      <c r="P10" s="19"/>
      <c r="Q10" s="70">
        <f t="shared" si="2"/>
        <v>-3</v>
      </c>
      <c r="R10" s="24">
        <f t="shared" si="3"/>
        <v>-40</v>
      </c>
      <c r="S10" s="24">
        <f t="shared" si="4"/>
        <v>-12396240.740740731</v>
      </c>
      <c r="T10" s="24">
        <f t="shared" si="5"/>
        <v>-41303292</v>
      </c>
      <c r="U10" s="24">
        <f t="shared" si="6"/>
        <v>-53699532.740740716</v>
      </c>
      <c r="V10" s="71">
        <f t="shared" si="7"/>
        <v>-0.20961618893986361</v>
      </c>
      <c r="W10" s="70" t="str">
        <f t="shared" si="8"/>
        <v>❌ Oshgan</v>
      </c>
      <c r="X10" s="19"/>
    </row>
    <row r="11" spans="1:24" x14ac:dyDescent="0.2">
      <c r="A11" s="13">
        <v>7</v>
      </c>
      <c r="B11" s="66" t="str">
        <f>'Proekt vaqt va Risk'!B10</f>
        <v>Toshkent Metro Stansiya</v>
      </c>
      <c r="C11" s="13">
        <v>7</v>
      </c>
      <c r="D11" s="44">
        <v>1200</v>
      </c>
      <c r="E11" s="16">
        <f>D11*'Xodimlar va Soat narxi'!N36*'Proekt vaqt va Risk'!C10</f>
        <v>291051515.15151513</v>
      </c>
      <c r="F11" s="16">
        <f>E11/Settings!$B$4</f>
        <v>22649.923358094562</v>
      </c>
      <c r="G11" s="44">
        <v>224658901</v>
      </c>
      <c r="H11" s="18">
        <f t="shared" si="0"/>
        <v>515710416.15151513</v>
      </c>
      <c r="I11" s="13"/>
      <c r="J11" s="66">
        <f>COUNTIF('Proekt vaqt va Risk'!D10:R10,"&gt;0")</f>
        <v>12</v>
      </c>
      <c r="K11" s="16">
        <f>'Proekt vaqt va Risk'!S10</f>
        <v>824</v>
      </c>
      <c r="L11" s="16">
        <f>'Proekt vaqt va Risk'!T10</f>
        <v>205154682.8282828</v>
      </c>
      <c r="M11" s="16">
        <f>'Proekt vaqt va Risk'!U10</f>
        <v>15965.344967181542</v>
      </c>
      <c r="N11" s="18">
        <f>SUMPRODUCT(('Tushum va Harajatlar'!B3:B275="PRJ-007")*('Tushum va Harajatlar'!R3:R275="Outsourcing")*'Tushum va Harajatlar'!N3:N275)</f>
        <v>288380026</v>
      </c>
      <c r="O11" s="18">
        <f t="shared" si="1"/>
        <v>493534708.82828283</v>
      </c>
      <c r="P11" s="13"/>
      <c r="Q11" s="67">
        <f t="shared" si="2"/>
        <v>-5</v>
      </c>
      <c r="R11" s="18">
        <f t="shared" si="3"/>
        <v>376</v>
      </c>
      <c r="S11" s="18">
        <f t="shared" si="4"/>
        <v>85896832.323232323</v>
      </c>
      <c r="T11" s="18">
        <f t="shared" si="5"/>
        <v>-63721125</v>
      </c>
      <c r="U11" s="18">
        <f t="shared" si="6"/>
        <v>22175707.323232293</v>
      </c>
      <c r="V11" s="68">
        <f t="shared" si="7"/>
        <v>4.300030914387639E-2</v>
      </c>
      <c r="W11" s="67" t="str">
        <f t="shared" si="8"/>
        <v>⚠️ Chegarada</v>
      </c>
      <c r="X11" s="13"/>
    </row>
    <row r="12" spans="1:24" x14ac:dyDescent="0.2">
      <c r="A12" s="19">
        <v>8</v>
      </c>
      <c r="B12" s="69" t="str">
        <f>'Proekt vaqt va Risk'!B11</f>
        <v>Namangan Klinika</v>
      </c>
      <c r="C12" s="19">
        <v>10</v>
      </c>
      <c r="D12" s="45">
        <v>600</v>
      </c>
      <c r="E12" s="22">
        <f>D12*'Xodimlar va Soat narxi'!N36*'Proekt vaqt va Risk'!C11</f>
        <v>121271464.64646465</v>
      </c>
      <c r="F12" s="22">
        <f>E12/Settings!$B$4</f>
        <v>9437.4680658727357</v>
      </c>
      <c r="G12" s="45">
        <v>45731898</v>
      </c>
      <c r="H12" s="24">
        <f t="shared" si="0"/>
        <v>167003362.64646465</v>
      </c>
      <c r="I12" s="19"/>
      <c r="J12" s="69">
        <f>COUNTIF('Proekt vaqt va Risk'!D11:R11,"&gt;0")</f>
        <v>13</v>
      </c>
      <c r="K12" s="22">
        <f>'Proekt vaqt va Risk'!S11</f>
        <v>528</v>
      </c>
      <c r="L12" s="22">
        <f>'Proekt vaqt va Risk'!T11</f>
        <v>109210161.61616161</v>
      </c>
      <c r="M12" s="22">
        <f>'Proekt vaqt va Risk'!U11</f>
        <v>8498.8452619581021</v>
      </c>
      <c r="N12" s="24">
        <f>SUMPRODUCT(('Tushum va Harajatlar'!B3:B275="PRJ-008")*('Tushum va Harajatlar'!R3:R275="Outsourcing")*'Tushum va Harajatlar'!N3:N275)</f>
        <v>18119028</v>
      </c>
      <c r="O12" s="24">
        <f t="shared" si="1"/>
        <v>127329189.61616161</v>
      </c>
      <c r="P12" s="19"/>
      <c r="Q12" s="70">
        <f t="shared" si="2"/>
        <v>-3</v>
      </c>
      <c r="R12" s="24">
        <f t="shared" si="3"/>
        <v>72</v>
      </c>
      <c r="S12" s="24">
        <f t="shared" si="4"/>
        <v>12061303.030303031</v>
      </c>
      <c r="T12" s="24">
        <f t="shared" si="5"/>
        <v>27612870</v>
      </c>
      <c r="U12" s="24">
        <f t="shared" si="6"/>
        <v>39674173.030303031</v>
      </c>
      <c r="V12" s="71">
        <f t="shared" si="7"/>
        <v>0.23756511486712215</v>
      </c>
      <c r="W12" s="70" t="str">
        <f t="shared" si="8"/>
        <v>✅ Byudjet ichida</v>
      </c>
      <c r="X12" s="19"/>
    </row>
    <row r="13" spans="1:24" x14ac:dyDescent="0.2">
      <c r="A13" s="13">
        <v>9</v>
      </c>
      <c r="B13" s="66" t="str">
        <f>'Proekt vaqt va Risk'!B12</f>
        <v>Andijon Sport Majmuasi</v>
      </c>
      <c r="C13" s="13">
        <v>5</v>
      </c>
      <c r="D13" s="44">
        <v>400</v>
      </c>
      <c r="E13" s="16">
        <f>D13*'Xodimlar va Soat narxi'!N36*'Proekt vaqt va Risk'!C12</f>
        <v>92974789.562289566</v>
      </c>
      <c r="F13" s="16">
        <f>E13/Settings!$B$4</f>
        <v>7235.3921838357637</v>
      </c>
      <c r="G13" s="44">
        <v>50447406</v>
      </c>
      <c r="H13" s="18">
        <f t="shared" si="0"/>
        <v>143422195.56228957</v>
      </c>
      <c r="I13" s="13"/>
      <c r="J13" s="66">
        <f>COUNTIF('Proekt vaqt va Risk'!D12:R12,"&gt;0")</f>
        <v>13</v>
      </c>
      <c r="K13" s="16">
        <f>'Proekt vaqt va Risk'!S12</f>
        <v>928</v>
      </c>
      <c r="L13" s="16">
        <f>'Proekt vaqt va Risk'!T12</f>
        <v>231222225.42087534</v>
      </c>
      <c r="M13" s="16">
        <f>'Proekt vaqt va Risk'!U12</f>
        <v>17993.947503570067</v>
      </c>
      <c r="N13" s="18">
        <f>SUMPRODUCT(('Tushum va Harajatlar'!B3:B275="PRJ-009")*('Tushum va Harajatlar'!R3:R275="Outsourcing")*'Tushum va Harajatlar'!N3:N275)</f>
        <v>36852341</v>
      </c>
      <c r="O13" s="18">
        <f t="shared" si="1"/>
        <v>268074566.42087534</v>
      </c>
      <c r="P13" s="13"/>
      <c r="Q13" s="67">
        <f t="shared" si="2"/>
        <v>-8</v>
      </c>
      <c r="R13" s="18">
        <f t="shared" si="3"/>
        <v>-528</v>
      </c>
      <c r="S13" s="18">
        <f t="shared" si="4"/>
        <v>-138247435.85858577</v>
      </c>
      <c r="T13" s="18">
        <f t="shared" si="5"/>
        <v>13595065</v>
      </c>
      <c r="U13" s="18">
        <f t="shared" si="6"/>
        <v>-124652370.85858577</v>
      </c>
      <c r="V13" s="68">
        <f t="shared" si="7"/>
        <v>-0.86912887067363376</v>
      </c>
      <c r="W13" s="67" t="str">
        <f t="shared" si="8"/>
        <v>❌ Oshgan</v>
      </c>
      <c r="X13" s="13"/>
    </row>
    <row r="14" spans="1:24" x14ac:dyDescent="0.2">
      <c r="A14" s="19">
        <v>10</v>
      </c>
      <c r="B14" s="69" t="str">
        <f>'Proekt vaqt va Risk'!B13</f>
        <v>Toshkent Ofis Binosi</v>
      </c>
      <c r="C14" s="19">
        <v>8</v>
      </c>
      <c r="D14" s="45">
        <v>1200</v>
      </c>
      <c r="E14" s="22">
        <f>D14*'Xodimlar va Soat narxi'!N36*'Proekt vaqt va Risk'!C13</f>
        <v>266797222.22222224</v>
      </c>
      <c r="F14" s="22">
        <f>E14/Settings!$B$4</f>
        <v>20762.42974492002</v>
      </c>
      <c r="G14" s="45">
        <v>69815824</v>
      </c>
      <c r="H14" s="24">
        <f t="shared" si="0"/>
        <v>336613046.22222221</v>
      </c>
      <c r="I14" s="19"/>
      <c r="J14" s="69">
        <f>COUNTIF('Proekt vaqt va Risk'!D13:R13,"&gt;0")</f>
        <v>14</v>
      </c>
      <c r="K14" s="22">
        <f>'Proekt vaqt va Risk'!S13</f>
        <v>608</v>
      </c>
      <c r="L14" s="22">
        <f>'Proekt vaqt va Risk'!T13</f>
        <v>143435659.25925925</v>
      </c>
      <c r="M14" s="22">
        <f>'Proekt vaqt va Risk'!U13</f>
        <v>11162.308113561032</v>
      </c>
      <c r="N14" s="24">
        <f>SUMPRODUCT(('Tushum va Harajatlar'!B3:B275="PRJ-010")*('Tushum va Harajatlar'!R3:R275="Outsourcing")*'Tushum va Harajatlar'!N3:N275)</f>
        <v>36848830</v>
      </c>
      <c r="O14" s="24">
        <f t="shared" si="1"/>
        <v>180284489.25925925</v>
      </c>
      <c r="P14" s="19"/>
      <c r="Q14" s="70">
        <f t="shared" si="2"/>
        <v>-6</v>
      </c>
      <c r="R14" s="24">
        <f t="shared" si="3"/>
        <v>592</v>
      </c>
      <c r="S14" s="24">
        <f t="shared" si="4"/>
        <v>123361562.96296299</v>
      </c>
      <c r="T14" s="24">
        <f t="shared" si="5"/>
        <v>32966994</v>
      </c>
      <c r="U14" s="24">
        <f t="shared" si="6"/>
        <v>156328556.96296296</v>
      </c>
      <c r="V14" s="71">
        <f t="shared" si="7"/>
        <v>0.46441621534704081</v>
      </c>
      <c r="W14" s="70" t="str">
        <f t="shared" si="8"/>
        <v>✅ Byudjet ichida</v>
      </c>
      <c r="X14" s="19"/>
    </row>
    <row r="15" spans="1:24" x14ac:dyDescent="0.2">
      <c r="A15" s="13">
        <v>11</v>
      </c>
      <c r="B15" s="66" t="str">
        <f>'Proekt vaqt va Risk'!B14</f>
        <v>Jizzax Maktab Loyihasi</v>
      </c>
      <c r="C15" s="13">
        <v>7</v>
      </c>
      <c r="D15" s="44">
        <v>600</v>
      </c>
      <c r="E15" s="16">
        <f>D15*'Xodimlar va Soat narxi'!N36*'Proekt vaqt va Risk'!C14</f>
        <v>139462184.34343433</v>
      </c>
      <c r="F15" s="16">
        <f>E15/Settings!$B$4</f>
        <v>10853.088275753644</v>
      </c>
      <c r="G15" s="44">
        <v>16012728</v>
      </c>
      <c r="H15" s="18">
        <f t="shared" si="0"/>
        <v>155474912.34343433</v>
      </c>
      <c r="I15" s="13"/>
      <c r="J15" s="66">
        <f>COUNTIF('Proekt vaqt va Risk'!D14:R14,"&gt;0")</f>
        <v>13</v>
      </c>
      <c r="K15" s="16">
        <f>'Proekt vaqt va Risk'!S14</f>
        <v>848</v>
      </c>
      <c r="L15" s="16">
        <f>'Proekt vaqt va Risk'!T14</f>
        <v>208851608.41750842</v>
      </c>
      <c r="M15" s="16">
        <f>'Proekt vaqt va Risk'!U14</f>
        <v>16253.043456615442</v>
      </c>
      <c r="N15" s="18">
        <f>SUMPRODUCT(('Tushum va Harajatlar'!B3:B275="PRJ-011")*('Tushum va Harajatlar'!R3:R275="Outsourcing")*'Tushum va Harajatlar'!N3:N275)</f>
        <v>32490129</v>
      </c>
      <c r="O15" s="18">
        <f t="shared" si="1"/>
        <v>241341737.41750842</v>
      </c>
      <c r="P15" s="13"/>
      <c r="Q15" s="67">
        <f t="shared" si="2"/>
        <v>-6</v>
      </c>
      <c r="R15" s="18">
        <f t="shared" si="3"/>
        <v>-248</v>
      </c>
      <c r="S15" s="18">
        <f t="shared" si="4"/>
        <v>-69389424.07407409</v>
      </c>
      <c r="T15" s="18">
        <f t="shared" si="5"/>
        <v>-16477401</v>
      </c>
      <c r="U15" s="18">
        <f t="shared" si="6"/>
        <v>-85866825.07407409</v>
      </c>
      <c r="V15" s="68">
        <f t="shared" si="7"/>
        <v>-0.55228733549242759</v>
      </c>
      <c r="W15" s="67" t="str">
        <f t="shared" si="8"/>
        <v>❌ Oshgan</v>
      </c>
      <c r="X15" s="13"/>
    </row>
    <row r="16" spans="1:24" x14ac:dyDescent="0.2">
      <c r="A16" s="19">
        <v>12</v>
      </c>
      <c r="B16" s="69" t="str">
        <f>'Proekt vaqt va Risk'!B15</f>
        <v>Qarshi Villa Majmuasi</v>
      </c>
      <c r="C16" s="19">
        <v>7</v>
      </c>
      <c r="D16" s="45">
        <v>1500</v>
      </c>
      <c r="E16" s="22">
        <f>D16*'Xodimlar va Soat narxi'!N36*'Proekt vaqt va Risk'!C15</f>
        <v>303178661.61616164</v>
      </c>
      <c r="F16" s="22">
        <f>E16/Settings!$B$4</f>
        <v>23593.67016468184</v>
      </c>
      <c r="G16" s="45">
        <v>37103646</v>
      </c>
      <c r="H16" s="24">
        <f t="shared" si="0"/>
        <v>340282307.61616164</v>
      </c>
      <c r="I16" s="19"/>
      <c r="J16" s="69">
        <f>COUNTIF('Proekt vaqt va Risk'!D15:R15,"&gt;0")</f>
        <v>13</v>
      </c>
      <c r="K16" s="22">
        <f>'Proekt vaqt va Risk'!S15</f>
        <v>792</v>
      </c>
      <c r="L16" s="22">
        <f>'Proekt vaqt va Risk'!T15</f>
        <v>173129333.33333334</v>
      </c>
      <c r="M16" s="22">
        <f>'Proekt vaqt va Risk'!U15</f>
        <v>13473.099870298314</v>
      </c>
      <c r="N16" s="24">
        <f>SUMPRODUCT(('Tushum va Harajatlar'!B3:B275="PRJ-012")*('Tushum va Harajatlar'!R3:R275="Outsourcing")*'Tushum va Harajatlar'!N3:N275)</f>
        <v>53006816</v>
      </c>
      <c r="O16" s="24">
        <f t="shared" si="1"/>
        <v>226136149.33333334</v>
      </c>
      <c r="P16" s="19"/>
      <c r="Q16" s="70">
        <f t="shared" si="2"/>
        <v>-6</v>
      </c>
      <c r="R16" s="24">
        <f t="shared" si="3"/>
        <v>708</v>
      </c>
      <c r="S16" s="24">
        <f t="shared" si="4"/>
        <v>130049328.2828283</v>
      </c>
      <c r="T16" s="24">
        <f t="shared" si="5"/>
        <v>-15903170</v>
      </c>
      <c r="U16" s="24">
        <f t="shared" si="6"/>
        <v>114146158.2828283</v>
      </c>
      <c r="V16" s="71">
        <f t="shared" si="7"/>
        <v>0.33544546903562539</v>
      </c>
      <c r="W16" s="70" t="str">
        <f t="shared" si="8"/>
        <v>✅ Byudjet ichida</v>
      </c>
      <c r="X16" s="19"/>
    </row>
    <row r="17" spans="1:24" x14ac:dyDescent="0.2">
      <c r="A17" s="13">
        <v>13</v>
      </c>
      <c r="B17" s="66" t="str">
        <f>'Proekt vaqt va Risk'!B16</f>
        <v>Toshkent Restoran Dizayn</v>
      </c>
      <c r="C17" s="13">
        <v>11</v>
      </c>
      <c r="D17" s="44">
        <v>1200</v>
      </c>
      <c r="E17" s="16">
        <f>D17*'Xodimlar va Soat narxi'!N36*'Proekt vaqt va Risk'!C16</f>
        <v>278924368.68686867</v>
      </c>
      <c r="F17" s="16">
        <f>E17/Settings!$B$4</f>
        <v>21706.176551507288</v>
      </c>
      <c r="G17" s="44">
        <v>21676697</v>
      </c>
      <c r="H17" s="18">
        <f t="shared" si="0"/>
        <v>300601065.68686867</v>
      </c>
      <c r="I17" s="13"/>
      <c r="J17" s="66">
        <f>COUNTIF('Proekt vaqt va Risk'!D16:R16,"&gt;0")</f>
        <v>14</v>
      </c>
      <c r="K17" s="16">
        <f>'Proekt vaqt va Risk'!S16</f>
        <v>704</v>
      </c>
      <c r="L17" s="16">
        <f>'Proekt vaqt va Risk'!T16</f>
        <v>173688929.62962964</v>
      </c>
      <c r="M17" s="16">
        <f>'Proekt vaqt va Risk'!U16</f>
        <v>13516.648220204641</v>
      </c>
      <c r="N17" s="18">
        <f>SUMPRODUCT(('Tushum va Harajatlar'!B3:B275="PRJ-013")*('Tushum va Harajatlar'!R3:R275="Outsourcing")*'Tushum va Harajatlar'!N3:N275)</f>
        <v>14118384</v>
      </c>
      <c r="O17" s="18">
        <f t="shared" si="1"/>
        <v>187807313.62962964</v>
      </c>
      <c r="P17" s="13"/>
      <c r="Q17" s="67">
        <f t="shared" si="2"/>
        <v>-3</v>
      </c>
      <c r="R17" s="18">
        <f t="shared" si="3"/>
        <v>496</v>
      </c>
      <c r="S17" s="18">
        <f t="shared" si="4"/>
        <v>105235439.05723903</v>
      </c>
      <c r="T17" s="18">
        <f t="shared" si="5"/>
        <v>7558313</v>
      </c>
      <c r="U17" s="18">
        <f t="shared" si="6"/>
        <v>112793752.05723903</v>
      </c>
      <c r="V17" s="68">
        <f t="shared" si="7"/>
        <v>0.37522738583613163</v>
      </c>
      <c r="W17" s="67" t="str">
        <f t="shared" si="8"/>
        <v>✅ Byudjet ichida</v>
      </c>
      <c r="X17" s="13"/>
    </row>
    <row r="18" spans="1:24" x14ac:dyDescent="0.2">
      <c r="A18" s="19">
        <v>14</v>
      </c>
      <c r="B18" s="69" t="str">
        <f>'Proekt vaqt va Risk'!B17</f>
        <v>Xiva Turizm Markazi</v>
      </c>
      <c r="C18" s="19">
        <v>5</v>
      </c>
      <c r="D18" s="45">
        <v>400</v>
      </c>
      <c r="E18" s="22">
        <f>D18*'Xodimlar va Soat narxi'!N36*'Proekt vaqt va Risk'!C17</f>
        <v>97017171.717171729</v>
      </c>
      <c r="F18" s="22">
        <f>E18/Settings!$B$4</f>
        <v>7549.9744526981885</v>
      </c>
      <c r="G18" s="45">
        <v>80369211</v>
      </c>
      <c r="H18" s="24">
        <f t="shared" si="0"/>
        <v>177386382.71717173</v>
      </c>
      <c r="I18" s="19"/>
      <c r="J18" s="69">
        <f>COUNTIF('Proekt vaqt va Risk'!D17:R17,"&gt;0")</f>
        <v>12</v>
      </c>
      <c r="K18" s="22">
        <f>'Proekt vaqt va Risk'!S17</f>
        <v>804</v>
      </c>
      <c r="L18" s="22">
        <f>'Proekt vaqt va Risk'!T17</f>
        <v>208876733.33333334</v>
      </c>
      <c r="M18" s="22">
        <f>'Proekt vaqt va Risk'!U17</f>
        <v>16254.998702983139</v>
      </c>
      <c r="N18" s="24">
        <f>SUMPRODUCT(('Tushum va Harajatlar'!B3:B275="PRJ-014")*('Tushum va Harajatlar'!R3:R275="Outsourcing")*'Tushum va Harajatlar'!N3:N275)</f>
        <v>20055639</v>
      </c>
      <c r="O18" s="24">
        <f t="shared" si="1"/>
        <v>228932372.33333334</v>
      </c>
      <c r="P18" s="19"/>
      <c r="Q18" s="70">
        <f t="shared" si="2"/>
        <v>-7</v>
      </c>
      <c r="R18" s="24">
        <f t="shared" si="3"/>
        <v>-404</v>
      </c>
      <c r="S18" s="24">
        <f t="shared" si="4"/>
        <v>-111859561.61616161</v>
      </c>
      <c r="T18" s="24">
        <f t="shared" si="5"/>
        <v>60313572</v>
      </c>
      <c r="U18" s="24">
        <f t="shared" si="6"/>
        <v>-51545989.616161615</v>
      </c>
      <c r="V18" s="71">
        <f t="shared" si="7"/>
        <v>-0.29058594479795857</v>
      </c>
      <c r="W18" s="70" t="str">
        <f t="shared" si="8"/>
        <v>❌ Oshgan</v>
      </c>
      <c r="X18" s="19"/>
    </row>
    <row r="19" spans="1:24" x14ac:dyDescent="0.2">
      <c r="A19" s="13">
        <v>15</v>
      </c>
      <c r="B19" s="66" t="str">
        <f>'Proekt vaqt va Risk'!B18</f>
        <v>Toshkent Coworking</v>
      </c>
      <c r="C19" s="13">
        <v>7</v>
      </c>
      <c r="D19" s="44">
        <v>1500</v>
      </c>
      <c r="E19" s="16">
        <f>D19*'Xodimlar va Soat narxi'!N36*'Proekt vaqt va Risk'!C18</f>
        <v>303178661.61616164</v>
      </c>
      <c r="F19" s="16">
        <f>E19/Settings!$B$4</f>
        <v>23593.67016468184</v>
      </c>
      <c r="G19" s="44">
        <v>20721903</v>
      </c>
      <c r="H19" s="18">
        <f t="shared" si="0"/>
        <v>323900564.61616164</v>
      </c>
      <c r="I19" s="13"/>
      <c r="J19" s="66">
        <f>COUNTIF('Proekt vaqt va Risk'!D18:R18,"&gt;0")</f>
        <v>14</v>
      </c>
      <c r="K19" s="16">
        <f>'Proekt vaqt va Risk'!S18</f>
        <v>768</v>
      </c>
      <c r="L19" s="16">
        <f>'Proekt vaqt va Risk'!T18</f>
        <v>166652383.83838385</v>
      </c>
      <c r="M19" s="16">
        <f>'Proekt vaqt va Risk'!U18</f>
        <v>12969.057108045436</v>
      </c>
      <c r="N19" s="18">
        <f>SUMPRODUCT(('Tushum va Harajatlar'!B3:B275="PRJ-015")*('Tushum va Harajatlar'!R3:R275="Outsourcing")*'Tushum va Harajatlar'!N3:N275)</f>
        <v>46817059</v>
      </c>
      <c r="O19" s="18">
        <f t="shared" si="1"/>
        <v>213469442.83838385</v>
      </c>
      <c r="P19" s="13"/>
      <c r="Q19" s="67">
        <f t="shared" si="2"/>
        <v>-7</v>
      </c>
      <c r="R19" s="18">
        <f t="shared" si="3"/>
        <v>732</v>
      </c>
      <c r="S19" s="18">
        <f t="shared" si="4"/>
        <v>136526277.77777779</v>
      </c>
      <c r="T19" s="18">
        <f t="shared" si="5"/>
        <v>-26095156</v>
      </c>
      <c r="U19" s="18">
        <f t="shared" si="6"/>
        <v>110431121.77777779</v>
      </c>
      <c r="V19" s="68">
        <f t="shared" si="7"/>
        <v>0.3409414303079224</v>
      </c>
      <c r="W19" s="67" t="str">
        <f t="shared" si="8"/>
        <v>✅ Byudjet ichida</v>
      </c>
      <c r="X19" s="13"/>
    </row>
    <row r="20" spans="1:24" x14ac:dyDescent="0.2">
      <c r="A20" s="19">
        <v>16</v>
      </c>
      <c r="B20" s="69" t="str">
        <f>'Proekt vaqt va Risk'!B19</f>
        <v>Sirdaryo Zavod Binosi</v>
      </c>
      <c r="C20" s="19">
        <v>5</v>
      </c>
      <c r="D20" s="45">
        <v>400</v>
      </c>
      <c r="E20" s="22">
        <f>D20*'Xodimlar va Soat narxi'!N36*'Proekt vaqt va Risk'!C19</f>
        <v>105101936.02693604</v>
      </c>
      <c r="F20" s="22">
        <f>E20/Settings!$B$4</f>
        <v>8179.1389904230382</v>
      </c>
      <c r="G20" s="45">
        <v>96920037</v>
      </c>
      <c r="H20" s="24">
        <f t="shared" si="0"/>
        <v>202021973.02693605</v>
      </c>
      <c r="I20" s="19"/>
      <c r="J20" s="69">
        <f>COUNTIF('Proekt vaqt va Risk'!D19:R19,"&gt;0")</f>
        <v>12</v>
      </c>
      <c r="K20" s="22">
        <f>'Proekt vaqt va Risk'!S19</f>
        <v>696</v>
      </c>
      <c r="L20" s="22">
        <f>'Proekt vaqt va Risk'!T19</f>
        <v>194062450.50505054</v>
      </c>
      <c r="M20" s="22">
        <f>'Proekt vaqt va Risk'!U19</f>
        <v>15102.136226073972</v>
      </c>
      <c r="N20" s="24">
        <f>SUMPRODUCT(('Tushum va Harajatlar'!B3:B275="PRJ-016")*('Tushum va Harajatlar'!R3:R275="Outsourcing")*'Tushum va Harajatlar'!N3:N275)</f>
        <v>38934018</v>
      </c>
      <c r="O20" s="24">
        <f t="shared" si="1"/>
        <v>232996468.50505054</v>
      </c>
      <c r="P20" s="19"/>
      <c r="Q20" s="70">
        <f t="shared" si="2"/>
        <v>-7</v>
      </c>
      <c r="R20" s="24">
        <f t="shared" si="3"/>
        <v>-296</v>
      </c>
      <c r="S20" s="24">
        <f t="shared" si="4"/>
        <v>-88960514.478114501</v>
      </c>
      <c r="T20" s="24">
        <f t="shared" si="5"/>
        <v>57986019</v>
      </c>
      <c r="U20" s="24">
        <f t="shared" si="6"/>
        <v>-30974495.478114486</v>
      </c>
      <c r="V20" s="71">
        <f t="shared" si="7"/>
        <v>-0.15332240851832779</v>
      </c>
      <c r="W20" s="70" t="str">
        <f t="shared" si="8"/>
        <v>❌ Oshgan</v>
      </c>
      <c r="X20" s="19"/>
    </row>
    <row r="21" spans="1:24" x14ac:dyDescent="0.2">
      <c r="A21" s="13">
        <v>17</v>
      </c>
      <c r="B21" s="66" t="str">
        <f>'Proekt vaqt va Risk'!B20</f>
        <v>Navoiy Aeroport Dizayn</v>
      </c>
      <c r="C21" s="13">
        <v>5</v>
      </c>
      <c r="D21" s="44">
        <v>1200</v>
      </c>
      <c r="E21" s="16">
        <f>D21*'Xodimlar va Soat narxi'!N36*'Proekt vaqt va Risk'!C20</f>
        <v>315305808.0808081</v>
      </c>
      <c r="F21" s="16">
        <f>E21/Settings!$B$4</f>
        <v>24537.416971269115</v>
      </c>
      <c r="G21" s="44">
        <v>162057036</v>
      </c>
      <c r="H21" s="18">
        <f t="shared" si="0"/>
        <v>477362844.0808081</v>
      </c>
      <c r="I21" s="13"/>
      <c r="J21" s="66">
        <f>COUNTIF('Proekt vaqt va Risk'!D20:R20,"&gt;0")</f>
        <v>15</v>
      </c>
      <c r="K21" s="16">
        <f>'Proekt vaqt va Risk'!S20</f>
        <v>620</v>
      </c>
      <c r="L21" s="16">
        <f>'Proekt vaqt va Risk'!T20</f>
        <v>163768955.38720539</v>
      </c>
      <c r="M21" s="16">
        <f>'Proekt vaqt va Risk'!U20</f>
        <v>12744.66578888758</v>
      </c>
      <c r="N21" s="18">
        <f>SUMPRODUCT(('Tushum va Harajatlar'!B3:B275="PRJ-017")*('Tushum va Harajatlar'!R3:R275="Outsourcing")*'Tushum va Harajatlar'!N3:N275)</f>
        <v>161862732</v>
      </c>
      <c r="O21" s="18">
        <f t="shared" si="1"/>
        <v>325631687.38720536</v>
      </c>
      <c r="P21" s="13"/>
      <c r="Q21" s="67">
        <f t="shared" si="2"/>
        <v>-10</v>
      </c>
      <c r="R21" s="18">
        <f t="shared" si="3"/>
        <v>580</v>
      </c>
      <c r="S21" s="18">
        <f t="shared" si="4"/>
        <v>151536852.69360271</v>
      </c>
      <c r="T21" s="18">
        <f t="shared" si="5"/>
        <v>194304</v>
      </c>
      <c r="U21" s="18">
        <f t="shared" si="6"/>
        <v>151731156.69360274</v>
      </c>
      <c r="V21" s="68">
        <f t="shared" si="7"/>
        <v>0.31785288397502015</v>
      </c>
      <c r="W21" s="67" t="str">
        <f t="shared" si="8"/>
        <v>✅ Byudjet ichida</v>
      </c>
      <c r="X21" s="13"/>
    </row>
    <row r="22" spans="1:24" x14ac:dyDescent="0.2">
      <c r="A22" s="19">
        <v>18</v>
      </c>
      <c r="B22" s="69" t="str">
        <f>'Proekt vaqt va Risk'!B21</f>
        <v>Toshkent IT Park 2</v>
      </c>
      <c r="C22" s="19">
        <v>8</v>
      </c>
      <c r="D22" s="45">
        <v>1000</v>
      </c>
      <c r="E22" s="22">
        <f>D22*'Xodimlar va Soat narxi'!N36*'Proekt vaqt va Risk'!C21</f>
        <v>242542929.29292929</v>
      </c>
      <c r="F22" s="22">
        <f>E22/Settings!$B$4</f>
        <v>18874.936131745471</v>
      </c>
      <c r="G22" s="45">
        <v>84530184</v>
      </c>
      <c r="H22" s="24">
        <f t="shared" si="0"/>
        <v>327073113.29292929</v>
      </c>
      <c r="I22" s="19"/>
      <c r="J22" s="69">
        <f>COUNTIF('Proekt vaqt va Risk'!D21:R21,"&gt;0")</f>
        <v>13</v>
      </c>
      <c r="K22" s="22">
        <f>'Proekt vaqt va Risk'!S21</f>
        <v>712</v>
      </c>
      <c r="L22" s="22">
        <f>'Proekt vaqt va Risk'!T21</f>
        <v>181047038.38383839</v>
      </c>
      <c r="M22" s="22">
        <f>'Proekt vaqt va Risk'!U21</f>
        <v>14089.26368745824</v>
      </c>
      <c r="N22" s="24">
        <f>SUMPRODUCT(('Tushum va Harajatlar'!B3:B275="PRJ-018")*('Tushum va Harajatlar'!R3:R275="Outsourcing")*'Tushum va Harajatlar'!N3:N275)</f>
        <v>53600553</v>
      </c>
      <c r="O22" s="24">
        <f t="shared" si="1"/>
        <v>234647591.38383839</v>
      </c>
      <c r="P22" s="19"/>
      <c r="Q22" s="70">
        <f t="shared" si="2"/>
        <v>-5</v>
      </c>
      <c r="R22" s="24">
        <f t="shared" si="3"/>
        <v>288</v>
      </c>
      <c r="S22" s="24">
        <f t="shared" si="4"/>
        <v>61495890.909090906</v>
      </c>
      <c r="T22" s="24">
        <f t="shared" si="5"/>
        <v>30929631</v>
      </c>
      <c r="U22" s="24">
        <f t="shared" si="6"/>
        <v>92425521.909090906</v>
      </c>
      <c r="V22" s="71">
        <f t="shared" si="7"/>
        <v>0.28258367365804804</v>
      </c>
      <c r="W22" s="70" t="str">
        <f t="shared" si="8"/>
        <v>✅ Byudjet ichida</v>
      </c>
      <c r="X22" s="19"/>
    </row>
    <row r="23" spans="1:24" x14ac:dyDescent="0.2">
      <c r="A23" s="13">
        <v>19</v>
      </c>
      <c r="B23" s="66" t="str">
        <f>'Proekt vaqt va Risk'!B22</f>
        <v>Fergana Textile HQ</v>
      </c>
      <c r="C23" s="13">
        <v>12</v>
      </c>
      <c r="D23" s="44">
        <v>400</v>
      </c>
      <c r="E23" s="16">
        <f>D23*'Xodimlar va Soat narxi'!N36*'Proekt vaqt va Risk'!C22</f>
        <v>105101936.02693604</v>
      </c>
      <c r="F23" s="16">
        <f>E23/Settings!$B$4</f>
        <v>8179.1389904230382</v>
      </c>
      <c r="G23" s="44">
        <v>42570672</v>
      </c>
      <c r="H23" s="18">
        <f t="shared" si="0"/>
        <v>147672608.02693605</v>
      </c>
      <c r="I23" s="13"/>
      <c r="J23" s="66">
        <f>COUNTIF('Proekt vaqt va Risk'!D22:R22,"&gt;0")</f>
        <v>15</v>
      </c>
      <c r="K23" s="16">
        <f>'Proekt vaqt va Risk'!S22</f>
        <v>776</v>
      </c>
      <c r="L23" s="16">
        <f>'Proekt vaqt va Risk'!T22</f>
        <v>209935428.61952859</v>
      </c>
      <c r="M23" s="16">
        <f>'Proekt vaqt va Risk'!U22</f>
        <v>16337.387441208451</v>
      </c>
      <c r="N23" s="18">
        <f>SUMPRODUCT(('Tushum va Harajatlar'!B3:B275="PRJ-019")*('Tushum va Harajatlar'!R3:R275="Outsourcing")*'Tushum va Harajatlar'!N3:N275)</f>
        <v>77038387</v>
      </c>
      <c r="O23" s="18">
        <f t="shared" si="1"/>
        <v>286973815.61952859</v>
      </c>
      <c r="P23" s="13"/>
      <c r="Q23" s="67">
        <f t="shared" si="2"/>
        <v>-3</v>
      </c>
      <c r="R23" s="18">
        <f t="shared" si="3"/>
        <v>-376</v>
      </c>
      <c r="S23" s="18">
        <f t="shared" si="4"/>
        <v>-104833492.59259255</v>
      </c>
      <c r="T23" s="18">
        <f t="shared" si="5"/>
        <v>-34467715</v>
      </c>
      <c r="U23" s="18">
        <f t="shared" si="6"/>
        <v>-139301207.59259254</v>
      </c>
      <c r="V23" s="68">
        <f t="shared" si="7"/>
        <v>-0.94331108154589816</v>
      </c>
      <c r="W23" s="67" t="str">
        <f t="shared" si="8"/>
        <v>❌ Oshgan</v>
      </c>
      <c r="X23" s="13"/>
    </row>
    <row r="24" spans="1:24" x14ac:dyDescent="0.2">
      <c r="A24" s="19">
        <v>20</v>
      </c>
      <c r="B24" s="69" t="str">
        <f>'Proekt vaqt va Risk'!B23</f>
        <v>Toshkent Luxury Villa</v>
      </c>
      <c r="C24" s="19">
        <v>12</v>
      </c>
      <c r="D24" s="45">
        <v>400</v>
      </c>
      <c r="E24" s="22">
        <f>D24*'Xodimlar va Soat narxi'!N36*'Proekt vaqt va Risk'!C23</f>
        <v>105101936.02693604</v>
      </c>
      <c r="F24" s="22">
        <f>E24/Settings!$B$4</f>
        <v>8179.1389904230382</v>
      </c>
      <c r="G24" s="45">
        <v>42501998</v>
      </c>
      <c r="H24" s="24">
        <f t="shared" si="0"/>
        <v>147603934.02693605</v>
      </c>
      <c r="I24" s="19"/>
      <c r="J24" s="69">
        <f>COUNTIF('Proekt vaqt va Risk'!D23:R23,"&gt;0")</f>
        <v>14</v>
      </c>
      <c r="K24" s="22">
        <f>'Proekt vaqt va Risk'!S23</f>
        <v>788</v>
      </c>
      <c r="L24" s="22">
        <f>'Proekt vaqt va Risk'!T23</f>
        <v>217323650.33670032</v>
      </c>
      <c r="M24" s="22">
        <f>'Proekt vaqt va Risk'!U23</f>
        <v>16912.346329704305</v>
      </c>
      <c r="N24" s="24">
        <f>SUMPRODUCT(('Tushum va Harajatlar'!B3:B275="PRJ-020")*('Tushum va Harajatlar'!R3:R275="Outsourcing")*'Tushum va Harajatlar'!N3:N275)</f>
        <v>59155017</v>
      </c>
      <c r="O24" s="24">
        <f t="shared" si="1"/>
        <v>276478667.33670032</v>
      </c>
      <c r="P24" s="19"/>
      <c r="Q24" s="70">
        <f t="shared" si="2"/>
        <v>-2</v>
      </c>
      <c r="R24" s="24">
        <f t="shared" si="3"/>
        <v>-388</v>
      </c>
      <c r="S24" s="24">
        <f t="shared" si="4"/>
        <v>-112221714.30976428</v>
      </c>
      <c r="T24" s="24">
        <f t="shared" si="5"/>
        <v>-16653019</v>
      </c>
      <c r="U24" s="24">
        <f t="shared" si="6"/>
        <v>-128874733.30976427</v>
      </c>
      <c r="V24" s="71">
        <f t="shared" si="7"/>
        <v>-0.87311177821484132</v>
      </c>
      <c r="W24" s="70" t="str">
        <f t="shared" si="8"/>
        <v>❌ Oshgan</v>
      </c>
      <c r="X24" s="19"/>
    </row>
    <row r="25" spans="1:24" x14ac:dyDescent="0.2">
      <c r="A25" s="13"/>
      <c r="B25" s="13" t="s">
        <v>873</v>
      </c>
      <c r="C25" s="18">
        <f t="shared" ref="C25:H25" si="9">SUM(C5:C24)</f>
        <v>163</v>
      </c>
      <c r="D25" s="18">
        <f t="shared" si="9"/>
        <v>17300</v>
      </c>
      <c r="E25" s="18">
        <f t="shared" si="9"/>
        <v>4050466919.1919193</v>
      </c>
      <c r="F25" s="18">
        <f t="shared" si="9"/>
        <v>315211.43340014934</v>
      </c>
      <c r="G25" s="18">
        <f t="shared" si="9"/>
        <v>1389052616</v>
      </c>
      <c r="H25" s="18">
        <f t="shared" si="9"/>
        <v>5439519535.1919193</v>
      </c>
      <c r="I25" s="13"/>
      <c r="J25" s="18">
        <f t="shared" ref="J25:O25" si="10">SUM(J5:J24)</f>
        <v>265</v>
      </c>
      <c r="K25" s="18">
        <f t="shared" si="10"/>
        <v>14608</v>
      </c>
      <c r="L25" s="18">
        <f t="shared" si="10"/>
        <v>3611627624.7474751</v>
      </c>
      <c r="M25" s="18">
        <f t="shared" si="10"/>
        <v>281060.51554455061</v>
      </c>
      <c r="N25" s="18">
        <f t="shared" si="10"/>
        <v>1530553499</v>
      </c>
      <c r="O25" s="18">
        <f t="shared" si="10"/>
        <v>5142181123.7474766</v>
      </c>
      <c r="P25" s="13"/>
      <c r="Q25" s="18">
        <f>SUM(Q5:Q24)</f>
        <v>-102</v>
      </c>
      <c r="R25" s="18">
        <f>SUM(R5:R24)</f>
        <v>2692</v>
      </c>
      <c r="S25" s="18">
        <f>SUM(S5:S24)</f>
        <v>438839294.44444466</v>
      </c>
      <c r="T25" s="18">
        <f>SUM(T5:T24)</f>
        <v>-141500883</v>
      </c>
      <c r="U25" s="18">
        <f>SUM(U5:U24)</f>
        <v>297338411.44444472</v>
      </c>
      <c r="V25" s="68">
        <f t="shared" si="7"/>
        <v>5.4662624064636609E-2</v>
      </c>
      <c r="W25" s="67" t="str">
        <f>IF(V25&gt;0.1,"✅ Umumiy ichida",IF(V25&gt;-0.05,"⚠️ Chegarada","❌ Oshgan"))</f>
        <v>⚠️ Chegarada</v>
      </c>
      <c r="X25" s="13"/>
    </row>
    <row r="26" spans="1:24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</row>
    <row r="27" spans="1:24" x14ac:dyDescent="0.2">
      <c r="A27" s="6" t="s">
        <v>900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x14ac:dyDescent="0.2">
      <c r="A28" s="19"/>
      <c r="B28" s="10" t="s">
        <v>901</v>
      </c>
      <c r="C28" s="10"/>
      <c r="D28" s="10"/>
      <c r="E28" s="10"/>
      <c r="F28" s="10"/>
      <c r="G28" s="5">
        <f>E25</f>
        <v>4050466919.1919193</v>
      </c>
      <c r="H28" s="5"/>
      <c r="I28" s="5"/>
      <c r="J28" s="5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</row>
    <row r="29" spans="1:24" x14ac:dyDescent="0.2">
      <c r="A29" s="13"/>
      <c r="B29" s="9" t="s">
        <v>902</v>
      </c>
      <c r="C29" s="9"/>
      <c r="D29" s="9"/>
      <c r="E29" s="9"/>
      <c r="F29" s="9"/>
      <c r="G29" s="4">
        <f>G25</f>
        <v>1389052616</v>
      </c>
      <c r="H29" s="4"/>
      <c r="I29" s="4"/>
      <c r="J29" s="4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</row>
    <row r="30" spans="1:24" x14ac:dyDescent="0.2">
      <c r="A30" s="19"/>
      <c r="B30" s="10" t="s">
        <v>903</v>
      </c>
      <c r="C30" s="10"/>
      <c r="D30" s="10"/>
      <c r="E30" s="10"/>
      <c r="F30" s="10"/>
      <c r="G30" s="5">
        <f>H25</f>
        <v>5439519535.1919193</v>
      </c>
      <c r="H30" s="5"/>
      <c r="I30" s="5"/>
      <c r="J30" s="5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</row>
    <row r="31" spans="1:24" x14ac:dyDescent="0.2">
      <c r="A31" s="13"/>
      <c r="B31" s="9" t="s">
        <v>904</v>
      </c>
      <c r="C31" s="9"/>
      <c r="D31" s="9"/>
      <c r="E31" s="9"/>
      <c r="F31" s="9"/>
      <c r="G31" s="4">
        <f>L25</f>
        <v>3611627624.7474751</v>
      </c>
      <c r="H31" s="4"/>
      <c r="I31" s="4"/>
      <c r="J31" s="4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x14ac:dyDescent="0.2">
      <c r="A32" s="19"/>
      <c r="B32" s="10" t="s">
        <v>905</v>
      </c>
      <c r="C32" s="10"/>
      <c r="D32" s="10"/>
      <c r="E32" s="10"/>
      <c r="F32" s="10"/>
      <c r="G32" s="5">
        <f>N25</f>
        <v>1530553499</v>
      </c>
      <c r="H32" s="5"/>
      <c r="I32" s="5"/>
      <c r="J32" s="5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</row>
    <row r="33" spans="1:24" x14ac:dyDescent="0.2">
      <c r="A33" s="13"/>
      <c r="B33" s="9" t="s">
        <v>906</v>
      </c>
      <c r="C33" s="9"/>
      <c r="D33" s="9"/>
      <c r="E33" s="9"/>
      <c r="F33" s="9"/>
      <c r="G33" s="4">
        <f>O25</f>
        <v>5142181123.7474766</v>
      </c>
      <c r="H33" s="4"/>
      <c r="I33" s="4"/>
      <c r="J33" s="4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1:24" x14ac:dyDescent="0.2">
      <c r="A34" s="19"/>
      <c r="B34" s="10" t="s">
        <v>907</v>
      </c>
      <c r="C34" s="10"/>
      <c r="D34" s="10"/>
      <c r="E34" s="10"/>
      <c r="F34" s="10"/>
      <c r="G34" s="5">
        <f>U25</f>
        <v>297338411.44444472</v>
      </c>
      <c r="H34" s="5"/>
      <c r="I34" s="5"/>
      <c r="J34" s="5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</row>
    <row r="35" spans="1:24" x14ac:dyDescent="0.2">
      <c r="A35" s="13"/>
      <c r="B35" s="9" t="s">
        <v>908</v>
      </c>
      <c r="C35" s="9"/>
      <c r="D35" s="9"/>
      <c r="E35" s="9"/>
      <c r="F35" s="9"/>
      <c r="G35" s="3">
        <f>V25</f>
        <v>5.4662624064636609E-2</v>
      </c>
      <c r="H35" s="3"/>
      <c r="I35" s="3"/>
      <c r="J35" s="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</row>
    <row r="36" spans="1:24" x14ac:dyDescent="0.2">
      <c r="A36" s="19"/>
      <c r="B36" s="10" t="s">
        <v>909</v>
      </c>
      <c r="C36" s="10"/>
      <c r="D36" s="10"/>
      <c r="E36" s="10"/>
      <c r="F36" s="10"/>
      <c r="G36" s="2">
        <f>COUNTIF(V5:V24,"&gt;0")</f>
        <v>11</v>
      </c>
      <c r="H36" s="2"/>
      <c r="I36" s="2"/>
      <c r="J36" s="2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</row>
    <row r="37" spans="1:24" x14ac:dyDescent="0.2">
      <c r="A37" s="13"/>
      <c r="B37" s="9" t="s">
        <v>910</v>
      </c>
      <c r="C37" s="9"/>
      <c r="D37" s="9"/>
      <c r="E37" s="9"/>
      <c r="F37" s="9"/>
      <c r="G37" s="1">
        <f>COUNTIF(V5:V24,"&lt;0")</f>
        <v>9</v>
      </c>
      <c r="H37" s="1"/>
      <c r="I37" s="1"/>
      <c r="J37" s="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spans="1:24" x14ac:dyDescent="0.2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</row>
    <row r="39" spans="1:24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1:24" x14ac:dyDescent="0.2">
      <c r="A40" s="19"/>
      <c r="B40" s="10" t="s">
        <v>911</v>
      </c>
      <c r="C40" s="10"/>
      <c r="D40" s="10"/>
      <c r="E40" s="10"/>
      <c r="F40" s="10"/>
      <c r="G40" s="10"/>
      <c r="H40" s="10"/>
      <c r="I40" s="10"/>
      <c r="J40" s="10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</row>
    <row r="41" spans="1:24" x14ac:dyDescent="0.2">
      <c r="A41" s="13"/>
      <c r="B41" s="9" t="s">
        <v>912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1:24" x14ac:dyDescent="0.2">
      <c r="A42" s="19"/>
      <c r="B42" s="10" t="s">
        <v>913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</row>
    <row r="43" spans="1:24" x14ac:dyDescent="0.2">
      <c r="A43" s="13"/>
      <c r="B43" s="9" t="s">
        <v>914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</row>
    <row r="44" spans="1:24" x14ac:dyDescent="0.2">
      <c r="A44" s="19"/>
      <c r="B44" s="10" t="s">
        <v>915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x14ac:dyDescent="0.2">
      <c r="A45" s="13"/>
      <c r="B45" s="9" t="s">
        <v>916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</row>
    <row r="46" spans="1:24" x14ac:dyDescent="0.2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</row>
    <row r="47" spans="1:24" x14ac:dyDescent="0.2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</row>
    <row r="48" spans="1:24" x14ac:dyDescent="0.2">
      <c r="A48" s="19"/>
      <c r="B48" s="72" t="s">
        <v>917</v>
      </c>
      <c r="C48" s="72"/>
      <c r="D48" s="72"/>
      <c r="E48" s="72"/>
      <c r="F48" s="72"/>
      <c r="G48" s="72"/>
      <c r="H48" s="72"/>
      <c r="I48" s="72"/>
      <c r="J48" s="72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</row>
    <row r="49" spans="1:24" x14ac:dyDescent="0.2">
      <c r="A49" s="13"/>
      <c r="B49" s="13" t="s">
        <v>918</v>
      </c>
      <c r="C49" s="13"/>
      <c r="D49" s="13"/>
      <c r="E49" s="13"/>
      <c r="F49" s="13"/>
      <c r="G49" s="57">
        <f>F25</f>
        <v>315211.43340014934</v>
      </c>
      <c r="H49" s="73"/>
      <c r="I49" s="73"/>
      <c r="J49" s="7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</row>
    <row r="50" spans="1:24" x14ac:dyDescent="0.2">
      <c r="A50" s="19"/>
      <c r="B50" s="19" t="s">
        <v>919</v>
      </c>
      <c r="C50" s="19"/>
      <c r="D50" s="19"/>
      <c r="E50" s="19"/>
      <c r="F50" s="19"/>
      <c r="G50" s="56">
        <f>G25/Settings!$B$4</f>
        <v>108097.47984435798</v>
      </c>
      <c r="H50" s="73"/>
      <c r="I50" s="73"/>
      <c r="J50" s="73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</row>
    <row r="51" spans="1:24" x14ac:dyDescent="0.2">
      <c r="A51" s="13"/>
      <c r="B51" s="13" t="s">
        <v>920</v>
      </c>
      <c r="C51" s="13"/>
      <c r="D51" s="13"/>
      <c r="E51" s="13"/>
      <c r="F51" s="13"/>
      <c r="G51" s="56">
        <f>H25/Settings!$B$4</f>
        <v>423308.91324450733</v>
      </c>
      <c r="H51" s="73"/>
      <c r="I51" s="73"/>
      <c r="J51" s="7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</row>
    <row r="52" spans="1:24" x14ac:dyDescent="0.2">
      <c r="A52" s="19"/>
      <c r="B52" s="19" t="s">
        <v>921</v>
      </c>
      <c r="C52" s="19"/>
      <c r="D52" s="19"/>
      <c r="E52" s="19"/>
      <c r="F52" s="19"/>
      <c r="G52" s="57">
        <f>K25</f>
        <v>14608</v>
      </c>
      <c r="H52" s="73"/>
      <c r="I52" s="73"/>
      <c r="J52" s="73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</row>
    <row r="53" spans="1:24" x14ac:dyDescent="0.2">
      <c r="A53" s="13"/>
      <c r="B53" s="13" t="s">
        <v>922</v>
      </c>
      <c r="C53" s="13"/>
      <c r="D53" s="13"/>
      <c r="E53" s="13"/>
      <c r="F53" s="13"/>
      <c r="G53" s="56">
        <f>N25/Settings!$B$4</f>
        <v>119109.22171206225</v>
      </c>
      <c r="H53" s="73"/>
      <c r="I53" s="73"/>
      <c r="J53" s="7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</row>
    <row r="54" spans="1:24" x14ac:dyDescent="0.2">
      <c r="A54" s="19"/>
      <c r="B54" s="19" t="s">
        <v>923</v>
      </c>
      <c r="C54" s="19"/>
      <c r="D54" s="19"/>
      <c r="E54" s="19"/>
      <c r="F54" s="19"/>
      <c r="G54" s="56">
        <f>O25/Settings!$B$4</f>
        <v>400169.73725661298</v>
      </c>
      <c r="H54" s="73"/>
      <c r="I54" s="73"/>
      <c r="J54" s="73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</row>
    <row r="55" spans="1:24" x14ac:dyDescent="0.2">
      <c r="A55" s="13"/>
      <c r="B55" s="13" t="s">
        <v>924</v>
      </c>
      <c r="C55" s="13"/>
      <c r="D55" s="13"/>
      <c r="E55" s="13"/>
      <c r="F55" s="13"/>
      <c r="G55" s="56">
        <f>U25/Settings!$B$4</f>
        <v>23139.17598789453</v>
      </c>
      <c r="H55" s="73"/>
      <c r="I55" s="73"/>
      <c r="J55" s="7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</row>
  </sheetData>
  <autoFilter ref="A3:X55" xr:uid="{00000000-0009-0000-0000-000006000000}"/>
  <mergeCells count="32">
    <mergeCell ref="B41:L41"/>
    <mergeCell ref="B42:L42"/>
    <mergeCell ref="B43:L43"/>
    <mergeCell ref="B44:L44"/>
    <mergeCell ref="B45:L45"/>
    <mergeCell ref="B36:F36"/>
    <mergeCell ref="G36:J36"/>
    <mergeCell ref="B37:F37"/>
    <mergeCell ref="G37:J37"/>
    <mergeCell ref="B40:J40"/>
    <mergeCell ref="B33:F33"/>
    <mergeCell ref="G33:J33"/>
    <mergeCell ref="B34:F34"/>
    <mergeCell ref="G34:J34"/>
    <mergeCell ref="B35:F35"/>
    <mergeCell ref="G35:J35"/>
    <mergeCell ref="B30:F30"/>
    <mergeCell ref="G30:J30"/>
    <mergeCell ref="B31:F31"/>
    <mergeCell ref="G31:J31"/>
    <mergeCell ref="B32:F32"/>
    <mergeCell ref="G32:J32"/>
    <mergeCell ref="A27:X27"/>
    <mergeCell ref="B28:F28"/>
    <mergeCell ref="G28:J28"/>
    <mergeCell ref="B29:F29"/>
    <mergeCell ref="G29:J29"/>
    <mergeCell ref="A1:X1"/>
    <mergeCell ref="A2:X2"/>
    <mergeCell ref="C3:H3"/>
    <mergeCell ref="J3:O3"/>
    <mergeCell ref="Q3:X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A3728"/>
  </sheetPr>
  <dimension ref="A1:H33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8" customWidth="1"/>
    <col min="3" max="3" width="20" customWidth="1"/>
    <col min="4" max="4" width="14.6640625" bestFit="1" customWidth="1"/>
    <col min="5" max="5" width="16.6640625" bestFit="1" customWidth="1"/>
    <col min="6" max="6" width="13" customWidth="1"/>
    <col min="7" max="7" width="16.6640625" bestFit="1" customWidth="1"/>
    <col min="8" max="8" width="12" customWidth="1"/>
  </cols>
  <sheetData>
    <row r="1" spans="1:8" ht="19.75" customHeight="1" x14ac:dyDescent="0.2">
      <c r="B1" s="11" t="s">
        <v>925</v>
      </c>
      <c r="C1" s="11"/>
      <c r="D1" s="11"/>
      <c r="E1" s="11"/>
      <c r="F1" s="11"/>
      <c r="G1" s="11"/>
    </row>
    <row r="3" spans="1:8" x14ac:dyDescent="0.2">
      <c r="B3" s="8" t="s">
        <v>926</v>
      </c>
      <c r="C3" s="8"/>
      <c r="D3" t="s">
        <v>927</v>
      </c>
      <c r="E3" s="74">
        <v>44743</v>
      </c>
      <c r="F3" t="s">
        <v>928</v>
      </c>
      <c r="G3" s="74">
        <v>46081</v>
      </c>
    </row>
    <row r="5" spans="1:8" x14ac:dyDescent="0.2">
      <c r="B5" s="8" t="s">
        <v>929</v>
      </c>
      <c r="C5" s="8"/>
      <c r="D5" s="8"/>
      <c r="E5" s="8"/>
      <c r="F5" s="8"/>
      <c r="G5" s="8"/>
    </row>
    <row r="6" spans="1:8" x14ac:dyDescent="0.2">
      <c r="B6" s="12" t="s">
        <v>930</v>
      </c>
      <c r="C6" s="12" t="s">
        <v>685</v>
      </c>
      <c r="E6" s="12" t="s">
        <v>931</v>
      </c>
    </row>
    <row r="7" spans="1:8" x14ac:dyDescent="0.2">
      <c r="A7" s="19"/>
      <c r="B7" s="19" t="s">
        <v>932</v>
      </c>
      <c r="C7" s="24">
        <f>SUMPRODUCT(('Tushum va Harajatlar'!C3:C275&gt;=E3)*('Tushum va Harajatlar'!C3:C275&lt;=G3)*('Tushum va Harajatlar'!E3:E275&lt;&gt;"")*'Tushum va Harajatlar'!N3:N275)</f>
        <v>12834000000</v>
      </c>
      <c r="D7" s="19"/>
      <c r="E7" s="56">
        <f>C7/Settings!$B$4</f>
        <v>998754.8638132296</v>
      </c>
      <c r="F7" s="54"/>
      <c r="G7" s="54"/>
      <c r="H7" s="19"/>
    </row>
    <row r="8" spans="1:8" x14ac:dyDescent="0.2">
      <c r="A8" s="13"/>
      <c r="B8" s="13" t="s">
        <v>933</v>
      </c>
      <c r="C8" s="18">
        <f>SUMPRODUCT(('Tushum va Harajatlar'!C3:C275&gt;=E3)*('Tushum va Harajatlar'!C3:C275&lt;=G3)*('Tushum va Harajatlar'!F3:F275&lt;&gt;"")*'Tushum va Harajatlar'!N3:N275)</f>
        <v>5203633339.4107761</v>
      </c>
      <c r="D8" s="13"/>
      <c r="E8" s="56">
        <f>C8/Settings!$B$4</f>
        <v>404952.01084908762</v>
      </c>
      <c r="F8" s="54"/>
      <c r="G8" s="54"/>
      <c r="H8" s="13"/>
    </row>
    <row r="9" spans="1:8" x14ac:dyDescent="0.2">
      <c r="A9" s="19"/>
      <c r="B9" s="19" t="s">
        <v>934</v>
      </c>
      <c r="C9" s="24">
        <f>SUMPRODUCT((MIZAN!C3:C284&gt;=E3)*(MIZAN!C3:C284&lt;=G3)*(MIZAN!D3:D284&lt;&gt;"")*MIZAN!J3:J284)</f>
        <v>2574259449</v>
      </c>
      <c r="D9" s="19"/>
      <c r="E9" s="56">
        <f>C9/Settings!$B$4</f>
        <v>200331.47463035019</v>
      </c>
      <c r="F9" s="54"/>
      <c r="G9" s="54"/>
      <c r="H9" s="19"/>
    </row>
    <row r="10" spans="1:8" x14ac:dyDescent="0.2">
      <c r="A10" s="13"/>
      <c r="B10" s="13" t="s">
        <v>935</v>
      </c>
      <c r="C10" s="18">
        <f>SUMPRODUCT((MIZAN!C3:C284&gt;=E3)*(MIZAN!C3:C284&lt;=G3)*(MIZAN!E3:E284&lt;&gt;"")*MIZAN!J3:J284)</f>
        <v>21564434769</v>
      </c>
      <c r="D10" s="13"/>
      <c r="E10" s="56">
        <f>C10/Settings!$B$4</f>
        <v>1678166.1298832684</v>
      </c>
      <c r="F10" s="54"/>
      <c r="G10" s="54"/>
      <c r="H10" s="13"/>
    </row>
    <row r="11" spans="1:8" x14ac:dyDescent="0.2">
      <c r="A11" s="19"/>
      <c r="B11" s="19" t="s">
        <v>936</v>
      </c>
      <c r="C11" s="24">
        <f>C9-C10</f>
        <v>-18990175320</v>
      </c>
      <c r="D11" s="19"/>
      <c r="E11" s="56">
        <f>C11/Settings!$B$4</f>
        <v>-1477834.6552529184</v>
      </c>
      <c r="F11" s="54"/>
      <c r="G11" s="54"/>
      <c r="H11" s="19"/>
    </row>
    <row r="12" spans="1:8" x14ac:dyDescent="0.2">
      <c r="A12" s="13"/>
      <c r="B12" s="13" t="s">
        <v>937</v>
      </c>
      <c r="C12" s="18">
        <f>C7-C8-C10</f>
        <v>-13934068108.410776</v>
      </c>
      <c r="D12" s="13"/>
      <c r="E12" s="56">
        <f>C12/Settings!$B$4</f>
        <v>-1084363.2769191265</v>
      </c>
      <c r="F12" s="54"/>
      <c r="G12" s="54"/>
      <c r="H12" s="13"/>
    </row>
    <row r="13" spans="1:8" x14ac:dyDescent="0.2">
      <c r="A13" s="19"/>
      <c r="B13" s="19" t="s">
        <v>938</v>
      </c>
      <c r="C13" s="71">
        <f>IF(C7=0,0,C12/C7)</f>
        <v>-1.0857151401286251</v>
      </c>
      <c r="D13" s="19"/>
      <c r="E13" s="75">
        <f>C13</f>
        <v>-1.0857151401286251</v>
      </c>
      <c r="F13" s="54"/>
      <c r="G13" s="54"/>
      <c r="H13" s="19"/>
    </row>
    <row r="14" spans="1:8" x14ac:dyDescent="0.2">
      <c r="A14" s="13"/>
      <c r="B14" s="13"/>
      <c r="C14" s="13"/>
      <c r="D14" s="13"/>
      <c r="E14" s="54"/>
      <c r="F14" s="54"/>
      <c r="G14" s="54"/>
      <c r="H14" s="13"/>
    </row>
    <row r="15" spans="1:8" x14ac:dyDescent="0.2">
      <c r="A15" s="19"/>
      <c r="B15" s="19"/>
      <c r="C15" s="19"/>
      <c r="D15" s="19"/>
      <c r="E15" s="54"/>
      <c r="F15" s="54"/>
      <c r="G15" s="54"/>
      <c r="H15" s="19"/>
    </row>
    <row r="16" spans="1:8" x14ac:dyDescent="0.2">
      <c r="A16" s="13"/>
      <c r="B16" s="13" t="s">
        <v>939</v>
      </c>
      <c r="C16" s="13"/>
      <c r="D16" s="13"/>
      <c r="E16" s="54"/>
      <c r="F16" s="54"/>
      <c r="G16" s="54"/>
      <c r="H16" s="13"/>
    </row>
    <row r="17" spans="1:8" x14ac:dyDescent="0.2">
      <c r="A17" s="19"/>
      <c r="B17" s="19" t="s">
        <v>755</v>
      </c>
      <c r="C17" s="19" t="s">
        <v>940</v>
      </c>
      <c r="D17" s="19" t="s">
        <v>941</v>
      </c>
      <c r="E17" s="54" t="s">
        <v>942</v>
      </c>
      <c r="F17" s="54" t="s">
        <v>943</v>
      </c>
      <c r="G17" s="54" t="s">
        <v>944</v>
      </c>
      <c r="H17" s="19" t="s">
        <v>945</v>
      </c>
    </row>
    <row r="18" spans="1:8" x14ac:dyDescent="0.2">
      <c r="A18" s="13"/>
      <c r="B18" s="13" t="s">
        <v>702</v>
      </c>
      <c r="C18" s="13">
        <v>2</v>
      </c>
      <c r="D18" s="18">
        <f>AVERAGE('Xodimlar va Soat narxi'!N5,'Xodimlar va Soat narxi'!N6)</f>
        <v>229948.65319865319</v>
      </c>
      <c r="E18" s="56">
        <f>SUM('Proekt vaqt va Risk'!D4:D23)+SUM('Proekt vaqt va Risk'!E4:E23)</f>
        <v>3232</v>
      </c>
      <c r="F18" s="57">
        <f t="shared" ref="F18:F24" si="0">D18*E18</f>
        <v>743194047.1380471</v>
      </c>
      <c r="G18" s="56">
        <f>F18/Settings!$B$4</f>
        <v>57836.112617746854</v>
      </c>
      <c r="H18" s="68">
        <f>IF(F25=0,0,F18/F25)</f>
        <v>0.24157983562237206</v>
      </c>
    </row>
    <row r="19" spans="1:8" x14ac:dyDescent="0.2">
      <c r="A19" s="19"/>
      <c r="B19" s="19" t="s">
        <v>705</v>
      </c>
      <c r="C19" s="19">
        <v>4</v>
      </c>
      <c r="D19" s="24">
        <f>AVERAGE('Xodimlar va Soat narxi'!N8,'Xodimlar va Soat narxi'!N9,'Xodimlar va Soat narxi'!N10,'Xodimlar va Soat narxi'!N11)</f>
        <v>218499.78956228957</v>
      </c>
      <c r="E19" s="56">
        <f>SUM('Proekt vaqt va Risk'!F4:F23)+SUM('Proekt vaqt va Risk'!G4:G23)+SUM('Proekt vaqt va Risk'!H4:H23)+SUM('Proekt vaqt va Risk'!I4:I23)</f>
        <v>6184</v>
      </c>
      <c r="F19" s="57">
        <f t="shared" si="0"/>
        <v>1351202698.6531987</v>
      </c>
      <c r="G19" s="56">
        <f>F19/Settings!$B$4</f>
        <v>105151.96098468473</v>
      </c>
      <c r="H19" s="71">
        <f>IF(F25=0,0,F19/F25)</f>
        <v>0.43921681973929033</v>
      </c>
    </row>
    <row r="20" spans="1:8" x14ac:dyDescent="0.2">
      <c r="A20" s="13"/>
      <c r="B20" s="13" t="s">
        <v>707</v>
      </c>
      <c r="C20" s="13">
        <v>2</v>
      </c>
      <c r="D20" s="18">
        <f>AVERAGE('Xodimlar va Soat narxi'!N13,'Xodimlar va Soat narxi'!N14)</f>
        <v>191198.65319865319</v>
      </c>
      <c r="E20" s="56">
        <f>SUM('Proekt vaqt va Risk'!J4:J23)+SUM('Proekt vaqt va Risk'!K4:K23)</f>
        <v>1300</v>
      </c>
      <c r="F20" s="57">
        <f t="shared" si="0"/>
        <v>248558249.15824914</v>
      </c>
      <c r="G20" s="56">
        <f>F20/Settings!$B$4</f>
        <v>19343.054409202268</v>
      </c>
      <c r="H20" s="68">
        <f>IF(F25=0,0,F20/F25)</f>
        <v>8.0795400885498289E-2</v>
      </c>
    </row>
    <row r="21" spans="1:8" x14ac:dyDescent="0.2">
      <c r="A21" s="19"/>
      <c r="B21" s="19" t="s">
        <v>709</v>
      </c>
      <c r="C21" s="19">
        <v>2</v>
      </c>
      <c r="D21" s="24">
        <f>AVERAGE('Xodimlar va Soat narxi'!N16,'Xodimlar va Soat narxi'!N17)</f>
        <v>182391.83501683502</v>
      </c>
      <c r="E21" s="56">
        <f>SUM('Proekt vaqt va Risk'!L4:L23)+SUM('Proekt vaqt va Risk'!M4:M23)</f>
        <v>1856</v>
      </c>
      <c r="F21" s="57">
        <f t="shared" si="0"/>
        <v>338519245.79124582</v>
      </c>
      <c r="G21" s="56">
        <f>F21/Settings!$B$4</f>
        <v>26343.910178307069</v>
      </c>
      <c r="H21" s="71">
        <f>IF(F25=0,0,F21/F25)</f>
        <v>0.11003778093780685</v>
      </c>
    </row>
    <row r="22" spans="1:8" x14ac:dyDescent="0.2">
      <c r="A22" s="13"/>
      <c r="B22" s="13" t="s">
        <v>711</v>
      </c>
      <c r="C22" s="13">
        <v>2</v>
      </c>
      <c r="D22" s="18">
        <f>AVERAGE('Xodimlar va Soat narxi'!N19,'Xodimlar va Soat narxi'!N20)</f>
        <v>170062.28956228954</v>
      </c>
      <c r="E22" s="56">
        <f>SUM('Proekt vaqt va Risk'!N4:N23)+SUM('Proekt vaqt va Risk'!O4:O23)</f>
        <v>600</v>
      </c>
      <c r="F22" s="57">
        <f t="shared" si="0"/>
        <v>102037373.73737372</v>
      </c>
      <c r="G22" s="56">
        <f>F22/Settings!$B$4</f>
        <v>7940.6516527139083</v>
      </c>
      <c r="H22" s="68">
        <f>IF(F25=0,0,F22/F25)</f>
        <v>3.3167881349074578E-2</v>
      </c>
    </row>
    <row r="23" spans="1:8" x14ac:dyDescent="0.2">
      <c r="A23" s="19"/>
      <c r="B23" s="19" t="s">
        <v>713</v>
      </c>
      <c r="C23" s="19">
        <v>1</v>
      </c>
      <c r="D23" s="24">
        <f>AVERAGE('Xodimlar va Soat narxi'!N22)</f>
        <v>192960.01683501684</v>
      </c>
      <c r="E23" s="56">
        <f>SUM('Proekt vaqt va Risk'!P4:P23)</f>
        <v>440</v>
      </c>
      <c r="F23" s="57">
        <f t="shared" si="0"/>
        <v>84902407.407407403</v>
      </c>
      <c r="G23" s="56">
        <f>F23/Settings!$B$4</f>
        <v>6607.1912379305368</v>
      </c>
      <c r="H23" s="71">
        <f>IF(F25=0,0,F23/F25)</f>
        <v>2.7598054242239257E-2</v>
      </c>
    </row>
    <row r="24" spans="1:8" x14ac:dyDescent="0.2">
      <c r="A24" s="13"/>
      <c r="B24" s="13" t="s">
        <v>715</v>
      </c>
      <c r="C24" s="13">
        <v>2</v>
      </c>
      <c r="D24" s="18">
        <f>AVERAGE('Xodimlar va Soat narxi'!N24,'Xodimlar va Soat narxi'!N25)</f>
        <v>208812.28956228957</v>
      </c>
      <c r="E24" s="56">
        <f>SUM('Proekt vaqt va Risk'!Q4:Q23)+SUM('Proekt vaqt va Risk'!R4:R23)</f>
        <v>996</v>
      </c>
      <c r="F24" s="57">
        <f t="shared" si="0"/>
        <v>207977040.40404043</v>
      </c>
      <c r="G24" s="56">
        <f>F24/Settings!$B$4</f>
        <v>16184.983689030383</v>
      </c>
      <c r="H24" s="68">
        <f>IF(F25=0,0,F24/F25)</f>
        <v>6.7604227223718533E-2</v>
      </c>
    </row>
    <row r="25" spans="1:8" x14ac:dyDescent="0.2">
      <c r="A25" s="19"/>
      <c r="B25" s="19" t="s">
        <v>873</v>
      </c>
      <c r="C25" s="24">
        <f>SUM(C18:C24)</f>
        <v>15</v>
      </c>
      <c r="D25" s="24">
        <f>AVERAGE(D18:D24)</f>
        <v>199124.78956228957</v>
      </c>
      <c r="E25" s="57">
        <f>SUM(E18:E24)</f>
        <v>14608</v>
      </c>
      <c r="F25" s="57">
        <f>SUM(F18:F24)</f>
        <v>3076391062.2895627</v>
      </c>
      <c r="G25" s="56">
        <f>F25/Settings!$B$4</f>
        <v>239407.86476961579</v>
      </c>
      <c r="H25" s="19"/>
    </row>
    <row r="26" spans="1:8" x14ac:dyDescent="0.2">
      <c r="A26" s="13"/>
      <c r="B26" s="13"/>
      <c r="C26" s="13"/>
      <c r="D26" s="13"/>
      <c r="E26" s="54"/>
      <c r="F26" s="54"/>
      <c r="G26" s="54"/>
      <c r="H26" s="13"/>
    </row>
    <row r="27" spans="1:8" x14ac:dyDescent="0.2">
      <c r="A27" s="19"/>
      <c r="B27" s="10" t="s">
        <v>946</v>
      </c>
      <c r="C27" s="10"/>
      <c r="D27" s="10"/>
      <c r="E27" s="10"/>
      <c r="F27" s="10"/>
      <c r="G27" s="10"/>
      <c r="H27" s="19"/>
    </row>
    <row r="28" spans="1:8" x14ac:dyDescent="0.2">
      <c r="A28" s="13"/>
      <c r="B28" s="13" t="s">
        <v>0</v>
      </c>
      <c r="C28" s="13" t="s">
        <v>947</v>
      </c>
      <c r="D28" s="13" t="s">
        <v>11</v>
      </c>
      <c r="E28" s="54" t="s">
        <v>948</v>
      </c>
      <c r="F28" s="54" t="s">
        <v>949</v>
      </c>
      <c r="G28" s="54" t="s">
        <v>950</v>
      </c>
      <c r="H28" s="13" t="s">
        <v>951</v>
      </c>
    </row>
    <row r="29" spans="1:8" x14ac:dyDescent="0.2">
      <c r="A29" s="19"/>
      <c r="B29" s="19">
        <v>1</v>
      </c>
      <c r="C29" s="19" t="s">
        <v>78</v>
      </c>
      <c r="D29" s="45">
        <v>1500000000</v>
      </c>
      <c r="E29" s="56">
        <v>1500000000</v>
      </c>
      <c r="F29" s="56">
        <v>337014955</v>
      </c>
      <c r="G29" s="57">
        <f>E29-F29</f>
        <v>1162985045</v>
      </c>
      <c r="H29" s="22">
        <f>G29/Settings!$B$4</f>
        <v>90504.672762645918</v>
      </c>
    </row>
    <row r="30" spans="1:8" x14ac:dyDescent="0.2">
      <c r="A30" s="13"/>
      <c r="B30" s="13">
        <v>2</v>
      </c>
      <c r="C30" s="13" t="s">
        <v>33</v>
      </c>
      <c r="D30" s="44">
        <v>1200000000</v>
      </c>
      <c r="E30" s="56">
        <v>1200000000</v>
      </c>
      <c r="F30" s="56">
        <v>232076576</v>
      </c>
      <c r="G30" s="57">
        <f>E30-F30</f>
        <v>967923424</v>
      </c>
      <c r="H30" s="16">
        <f>G30/Settings!$B$4</f>
        <v>75324.780077821008</v>
      </c>
    </row>
    <row r="31" spans="1:8" x14ac:dyDescent="0.2">
      <c r="A31" s="19"/>
      <c r="B31" s="19">
        <v>3</v>
      </c>
      <c r="C31" s="19" t="s">
        <v>158</v>
      </c>
      <c r="D31" s="45">
        <v>1100000000</v>
      </c>
      <c r="E31" s="56">
        <v>1100000000</v>
      </c>
      <c r="F31" s="56">
        <v>175828743</v>
      </c>
      <c r="G31" s="57">
        <f>E31-F31</f>
        <v>924171257</v>
      </c>
      <c r="H31" s="22">
        <f>G31/Settings!$B$4</f>
        <v>71919.94217898832</v>
      </c>
    </row>
    <row r="32" spans="1:8" x14ac:dyDescent="0.2">
      <c r="A32" s="13"/>
      <c r="B32" s="13">
        <v>4</v>
      </c>
      <c r="C32" s="13" t="s">
        <v>69</v>
      </c>
      <c r="D32" s="44">
        <v>950000000</v>
      </c>
      <c r="E32" s="56">
        <v>950000000</v>
      </c>
      <c r="F32" s="56">
        <v>202706043</v>
      </c>
      <c r="G32" s="57">
        <f>E32-F32</f>
        <v>747293957</v>
      </c>
      <c r="H32" s="16">
        <f>G32/Settings!$B$4</f>
        <v>58155.17175097276</v>
      </c>
    </row>
    <row r="33" spans="1:8" x14ac:dyDescent="0.2">
      <c r="A33" s="19"/>
      <c r="B33" s="19">
        <v>5</v>
      </c>
      <c r="C33" s="19" t="s">
        <v>151</v>
      </c>
      <c r="D33" s="45">
        <v>900000000</v>
      </c>
      <c r="E33" s="56">
        <v>900000000</v>
      </c>
      <c r="F33" s="56">
        <v>213532130</v>
      </c>
      <c r="G33" s="57">
        <f>E33-F33</f>
        <v>686467870</v>
      </c>
      <c r="H33" s="22">
        <f>G33/Settings!$B$4</f>
        <v>53421.624124513619</v>
      </c>
    </row>
  </sheetData>
  <mergeCells count="4">
    <mergeCell ref="B1:G1"/>
    <mergeCell ref="B3:C3"/>
    <mergeCell ref="B5:G5"/>
    <mergeCell ref="B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8C5D6"/>
  </sheetPr>
  <dimension ref="A1:O34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2" customWidth="1"/>
    <col min="3" max="3" width="18" customWidth="1"/>
    <col min="4" max="4" width="16" customWidth="1"/>
    <col min="5" max="5" width="14" customWidth="1"/>
    <col min="6" max="10" width="13" customWidth="1"/>
    <col min="11" max="11" width="16" customWidth="1"/>
    <col min="12" max="12" width="28" customWidth="1"/>
    <col min="13" max="13" width="46.5" bestFit="1" customWidth="1"/>
    <col min="14" max="14" width="14" customWidth="1"/>
    <col min="15" max="15" width="13" customWidth="1"/>
  </cols>
  <sheetData>
    <row r="1" spans="1:15" ht="19.75" customHeight="1" x14ac:dyDescent="0.2">
      <c r="B1" s="11" t="s">
        <v>952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</row>
    <row r="3" spans="1:15" ht="154" x14ac:dyDescent="0.2">
      <c r="B3" s="12" t="s">
        <v>0</v>
      </c>
      <c r="C3" s="12" t="s">
        <v>753</v>
      </c>
      <c r="D3" s="12" t="s">
        <v>754</v>
      </c>
      <c r="E3" s="12" t="s">
        <v>755</v>
      </c>
      <c r="F3" s="12" t="s">
        <v>953</v>
      </c>
      <c r="G3" s="12" t="s">
        <v>954</v>
      </c>
      <c r="H3" s="12" t="s">
        <v>955</v>
      </c>
      <c r="I3" s="12" t="s">
        <v>956</v>
      </c>
      <c r="J3" s="12" t="s">
        <v>957</v>
      </c>
      <c r="K3" s="12" t="s">
        <v>958</v>
      </c>
      <c r="L3" s="12" t="s">
        <v>959</v>
      </c>
      <c r="M3" s="12" t="s">
        <v>960</v>
      </c>
      <c r="N3" s="12" t="s">
        <v>961</v>
      </c>
      <c r="O3" s="12" t="s">
        <v>962</v>
      </c>
    </row>
    <row r="4" spans="1:15" x14ac:dyDescent="0.2">
      <c r="A4" s="19"/>
      <c r="B4" s="10" t="s">
        <v>768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54"/>
      <c r="O4" s="54"/>
    </row>
    <row r="5" spans="1:15" x14ac:dyDescent="0.2">
      <c r="A5" s="13"/>
      <c r="B5" s="13">
        <v>1</v>
      </c>
      <c r="C5" s="13" t="s">
        <v>45</v>
      </c>
      <c r="D5" s="13" t="s">
        <v>769</v>
      </c>
      <c r="E5" s="13" t="s">
        <v>770</v>
      </c>
      <c r="F5" s="55">
        <f>COUNTIF('Proekt vaqt va Risk'!D4:D23,"&gt;0")</f>
        <v>20</v>
      </c>
      <c r="G5" s="55">
        <f>SUM('Proekt vaqt va Risk'!D4:D23)</f>
        <v>1684</v>
      </c>
      <c r="H5" s="64">
        <f>IF(F5=0,0,G5/F5)</f>
        <v>84.2</v>
      </c>
      <c r="I5" s="18">
        <f>'Xodimlar va Soat narxi'!N5</f>
        <v>245800.92592592593</v>
      </c>
      <c r="J5" s="18">
        <f>G5*I5</f>
        <v>413928759.25925928</v>
      </c>
      <c r="K5" s="76">
        <f>IF(Settings!$B$8*42=0,0,G5/(Settings!$B$8*42))</f>
        <v>0.2278138528138528</v>
      </c>
      <c r="L5" s="67" t="str">
        <f>IF(K5&gt;=0.8,"★★★★★",IF(K5&gt;=0.6,"★★★★",IF(K5&gt;=0.4,"★★★",IF(K5&gt;=0.2,"★★","★"))))</f>
        <v>★★</v>
      </c>
      <c r="M5" s="13" t="s">
        <v>963</v>
      </c>
      <c r="N5" s="56">
        <f>I5/Settings!$B$4</f>
        <v>19.128476725752989</v>
      </c>
      <c r="O5" s="56">
        <f>J5/Settings!$B$4</f>
        <v>32212.354806168038</v>
      </c>
    </row>
    <row r="6" spans="1:15" x14ac:dyDescent="0.2">
      <c r="A6" s="19"/>
      <c r="B6" s="19">
        <v>2</v>
      </c>
      <c r="C6" s="19" t="s">
        <v>369</v>
      </c>
      <c r="D6" s="19" t="s">
        <v>771</v>
      </c>
      <c r="E6" s="19" t="s">
        <v>770</v>
      </c>
      <c r="F6" s="58">
        <f>COUNTIF('Proekt vaqt va Risk'!E4:E23,"&gt;0")</f>
        <v>20</v>
      </c>
      <c r="G6" s="58">
        <f>SUM('Proekt vaqt va Risk'!E4:E23)</f>
        <v>1548</v>
      </c>
      <c r="H6" s="61">
        <f>IF(F6=0,0,G6/F6)</f>
        <v>77.400000000000006</v>
      </c>
      <c r="I6" s="24">
        <f>'Xodimlar va Soat narxi'!N6</f>
        <v>214096.38047138049</v>
      </c>
      <c r="J6" s="24">
        <f>G6*I6</f>
        <v>331421196.969697</v>
      </c>
      <c r="K6" s="77">
        <f>IF(Settings!$B$8*42=0,0,G6/(Settings!$B$8*42))</f>
        <v>0.20941558441558442</v>
      </c>
      <c r="L6" s="70" t="str">
        <f>IF(K6&gt;=0.8,"★★★★★",IF(K6&gt;=0.6,"★★★★",IF(K6&gt;=0.4,"★★★",IF(K6&gt;=0.2,"★★","★"))))</f>
        <v>★★</v>
      </c>
      <c r="M6" s="19" t="s">
        <v>963</v>
      </c>
      <c r="N6" s="56">
        <f>I6/Settings!$B$4</f>
        <v>16.661196923842841</v>
      </c>
      <c r="O6" s="56">
        <f>J6/Settings!$B$4</f>
        <v>25791.532838108717</v>
      </c>
    </row>
    <row r="7" spans="1:15" x14ac:dyDescent="0.2">
      <c r="A7" s="13"/>
      <c r="B7" s="9" t="s">
        <v>772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54"/>
      <c r="O7" s="54"/>
    </row>
    <row r="8" spans="1:15" x14ac:dyDescent="0.2">
      <c r="A8" s="19"/>
      <c r="B8" s="19">
        <v>3</v>
      </c>
      <c r="C8" s="19" t="s">
        <v>25</v>
      </c>
      <c r="D8" s="19" t="s">
        <v>773</v>
      </c>
      <c r="E8" s="19" t="s">
        <v>774</v>
      </c>
      <c r="F8" s="58">
        <f>COUNTIF('Proekt vaqt va Risk'!F4:F23,"&gt;0")</f>
        <v>20</v>
      </c>
      <c r="G8" s="58">
        <f>SUM('Proekt vaqt va Risk'!F4:F23)</f>
        <v>1524</v>
      </c>
      <c r="H8" s="61">
        <f>IF(F8=0,0,G8/F8)</f>
        <v>76.2</v>
      </c>
      <c r="I8" s="24">
        <f>'Xodimlar va Soat narxi'!N8</f>
        <v>273982.74410774413</v>
      </c>
      <c r="J8" s="24">
        <f>G8*I8</f>
        <v>417549702.02020204</v>
      </c>
      <c r="K8" s="77">
        <f>IF(Settings!$B$8*42=0,0,G8/(Settings!$B$8*42))</f>
        <v>0.20616883116883117</v>
      </c>
      <c r="L8" s="70" t="str">
        <f>IF(K8&gt;=0.8,"★★★★★",IF(K8&gt;=0.6,"★★★★",IF(K8&gt;=0.4,"★★★",IF(K8&gt;=0.2,"★★","★"))))</f>
        <v>★★</v>
      </c>
      <c r="M8" s="19" t="s">
        <v>964</v>
      </c>
      <c r="N8" s="56">
        <f>I8/Settings!$B$4</f>
        <v>21.321614327450906</v>
      </c>
      <c r="O8" s="56">
        <f>J8/Settings!$B$4</f>
        <v>32494.140235035178</v>
      </c>
    </row>
    <row r="9" spans="1:15" x14ac:dyDescent="0.2">
      <c r="A9" s="13"/>
      <c r="B9" s="13">
        <v>4</v>
      </c>
      <c r="C9" s="13" t="s">
        <v>36</v>
      </c>
      <c r="D9" s="13" t="s">
        <v>775</v>
      </c>
      <c r="E9" s="13" t="s">
        <v>774</v>
      </c>
      <c r="F9" s="55">
        <f>COUNTIF('Proekt vaqt va Risk'!G4:G23,"&gt;0")</f>
        <v>20</v>
      </c>
      <c r="G9" s="55">
        <f>SUM('Proekt vaqt va Risk'!G4:G23)</f>
        <v>1740</v>
      </c>
      <c r="H9" s="64">
        <f>IF(F9=0,0,G9/F9)</f>
        <v>87</v>
      </c>
      <c r="I9" s="18">
        <f>'Xodimlar va Soat narxi'!N9</f>
        <v>231710.01683501684</v>
      </c>
      <c r="J9" s="18">
        <f>G9*I9</f>
        <v>403175429.29292929</v>
      </c>
      <c r="K9" s="76">
        <f>IF(Settings!$B$8*42=0,0,G9/(Settings!$B$8*42))</f>
        <v>0.2353896103896104</v>
      </c>
      <c r="L9" s="67" t="str">
        <f>IF(K9&gt;=0.8,"★★★★★",IF(K9&gt;=0.6,"★★★★",IF(K9&gt;=0.4,"★★★",IF(K9&gt;=0.2,"★★","★"))))</f>
        <v>★★</v>
      </c>
      <c r="M9" s="13" t="s">
        <v>964</v>
      </c>
      <c r="N9" s="56">
        <f>I9/Settings!$B$4</f>
        <v>18.031907924904033</v>
      </c>
      <c r="O9" s="56">
        <f>J9/Settings!$B$4</f>
        <v>31375.519789333019</v>
      </c>
    </row>
    <row r="10" spans="1:15" x14ac:dyDescent="0.2">
      <c r="A10" s="19"/>
      <c r="B10" s="19">
        <v>5</v>
      </c>
      <c r="C10" s="19" t="s">
        <v>72</v>
      </c>
      <c r="D10" s="19" t="s">
        <v>776</v>
      </c>
      <c r="E10" s="19" t="s">
        <v>774</v>
      </c>
      <c r="F10" s="58">
        <f>COUNTIF('Proekt vaqt va Risk'!H4:H23,"&gt;0")</f>
        <v>20</v>
      </c>
      <c r="G10" s="58">
        <f>SUM('Proekt vaqt va Risk'!H4:H23)</f>
        <v>1496</v>
      </c>
      <c r="H10" s="61">
        <f>IF(F10=0,0,G10/F10)</f>
        <v>74.8</v>
      </c>
      <c r="I10" s="24">
        <f>'Xodimlar va Soat narxi'!N10</f>
        <v>189437.28956228957</v>
      </c>
      <c r="J10" s="24">
        <f>G10*I10</f>
        <v>283398185.18518519</v>
      </c>
      <c r="K10" s="77">
        <f>IF(Settings!$B$8*42=0,0,G10/(Settings!$B$8*42))</f>
        <v>0.20238095238095238</v>
      </c>
      <c r="L10" s="70" t="str">
        <f>IF(K10&gt;=0.8,"★★★★★",IF(K10&gt;=0.6,"★★★★",IF(K10&gt;=0.4,"★★★",IF(K10&gt;=0.2,"★★","★"))))</f>
        <v>★★</v>
      </c>
      <c r="M10" s="19" t="s">
        <v>964</v>
      </c>
      <c r="N10" s="56">
        <f>I10/Settings!$B$4</f>
        <v>14.742201522357165</v>
      </c>
      <c r="O10" s="56">
        <f>J10/Settings!$B$4</f>
        <v>22054.333477446318</v>
      </c>
    </row>
    <row r="11" spans="1:15" x14ac:dyDescent="0.2">
      <c r="A11" s="13"/>
      <c r="B11" s="13">
        <v>6</v>
      </c>
      <c r="C11" s="13" t="s">
        <v>777</v>
      </c>
      <c r="D11" s="13" t="s">
        <v>776</v>
      </c>
      <c r="E11" s="13" t="s">
        <v>774</v>
      </c>
      <c r="F11" s="55">
        <f>COUNTIF('Proekt vaqt va Risk'!I4:I23,"&gt;0")</f>
        <v>20</v>
      </c>
      <c r="G11" s="55">
        <f>SUM('Proekt vaqt va Risk'!I4:I23)</f>
        <v>1424</v>
      </c>
      <c r="H11" s="64">
        <f>IF(F11=0,0,G11/F11)</f>
        <v>71.2</v>
      </c>
      <c r="I11" s="18">
        <f>'Xodimlar va Soat narxi'!N11</f>
        <v>178869.10774410775</v>
      </c>
      <c r="J11" s="18">
        <f>G11*I11</f>
        <v>254709609.42760944</v>
      </c>
      <c r="K11" s="76">
        <f>IF(Settings!$B$8*42=0,0,G11/(Settings!$B$8*42))</f>
        <v>0.19264069264069264</v>
      </c>
      <c r="L11" s="67" t="str">
        <f>IF(K11&gt;=0.8,"★★★★★",IF(K11&gt;=0.6,"★★★★",IF(K11&gt;=0.4,"★★★",IF(K11&gt;=0.2,"★★","★"))))</f>
        <v>★</v>
      </c>
      <c r="M11" s="13" t="s">
        <v>964</v>
      </c>
      <c r="N11" s="56">
        <f>I11/Settings!$B$4</f>
        <v>13.919774921720448</v>
      </c>
      <c r="O11" s="56">
        <f>J11/Settings!$B$4</f>
        <v>19821.759488529919</v>
      </c>
    </row>
    <row r="12" spans="1:15" x14ac:dyDescent="0.2">
      <c r="A12" s="19"/>
      <c r="B12" s="10" t="s">
        <v>778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54"/>
      <c r="O12" s="54"/>
    </row>
    <row r="13" spans="1:15" x14ac:dyDescent="0.2">
      <c r="A13" s="13"/>
      <c r="B13" s="13">
        <v>7</v>
      </c>
      <c r="C13" s="13" t="s">
        <v>779</v>
      </c>
      <c r="D13" s="13" t="s">
        <v>780</v>
      </c>
      <c r="E13" s="13" t="s">
        <v>781</v>
      </c>
      <c r="F13" s="55">
        <f>COUNTIF('Proekt vaqt va Risk'!J4:J23,"&gt;0")</f>
        <v>14</v>
      </c>
      <c r="G13" s="55">
        <f>SUM('Proekt vaqt va Risk'!J4:J23)</f>
        <v>648</v>
      </c>
      <c r="H13" s="64">
        <f>IF(F13=0,0,G13/F13)</f>
        <v>46.285714285714285</v>
      </c>
      <c r="I13" s="18">
        <f>'Xodimlar va Soat narxi'!N13</f>
        <v>196482.7441077441</v>
      </c>
      <c r="J13" s="18">
        <f>G13*I13</f>
        <v>127320818.18181817</v>
      </c>
      <c r="K13" s="76">
        <f>IF(Settings!$B$8*42=0,0,G13/(Settings!$B$8*42))</f>
        <v>8.7662337662337664E-2</v>
      </c>
      <c r="L13" s="67" t="str">
        <f>IF(K13&gt;=0.8,"★★★★★",IF(K13&gt;=0.6,"★★★★",IF(K13&gt;=0.4,"★★★",IF(K13&gt;=0.2,"★★","★"))))</f>
        <v>★</v>
      </c>
      <c r="M13" s="13" t="s">
        <v>965</v>
      </c>
      <c r="N13" s="56">
        <f>I13/Settings!$B$4</f>
        <v>15.290485922781642</v>
      </c>
      <c r="O13" s="56">
        <f>J13/Settings!$B$4</f>
        <v>9908.2348779625045</v>
      </c>
    </row>
    <row r="14" spans="1:15" x14ac:dyDescent="0.2">
      <c r="A14" s="19"/>
      <c r="B14" s="19">
        <v>8</v>
      </c>
      <c r="C14" s="19" t="s">
        <v>782</v>
      </c>
      <c r="D14" s="19" t="s">
        <v>783</v>
      </c>
      <c r="E14" s="19" t="s">
        <v>781</v>
      </c>
      <c r="F14" s="58">
        <f>COUNTIF('Proekt vaqt va Risk'!K4:K23,"&gt;0")</f>
        <v>17</v>
      </c>
      <c r="G14" s="58">
        <f>SUM('Proekt vaqt va Risk'!K4:K23)</f>
        <v>652</v>
      </c>
      <c r="H14" s="61">
        <f>IF(F14=0,0,G14/F14)</f>
        <v>38.352941176470587</v>
      </c>
      <c r="I14" s="24">
        <f>'Xodimlar va Soat narxi'!N14</f>
        <v>185914.56228956231</v>
      </c>
      <c r="J14" s="24">
        <f>G14*I14</f>
        <v>121216294.61279462</v>
      </c>
      <c r="K14" s="77">
        <f>IF(Settings!$B$8*42=0,0,G14/(Settings!$B$8*42))</f>
        <v>8.82034632034632E-2</v>
      </c>
      <c r="L14" s="70" t="str">
        <f>IF(K14&gt;=0.8,"★★★★★",IF(K14&gt;=0.6,"★★★★",IF(K14&gt;=0.4,"★★★",IF(K14&gt;=0.2,"★★","★"))))</f>
        <v>★</v>
      </c>
      <c r="M14" s="19" t="s">
        <v>965</v>
      </c>
      <c r="N14" s="56">
        <f>I14/Settings!$B$4</f>
        <v>14.468059322144926</v>
      </c>
      <c r="O14" s="56">
        <f>J14/Settings!$B$4</f>
        <v>9433.1746780384929</v>
      </c>
    </row>
    <row r="15" spans="1:15" x14ac:dyDescent="0.2">
      <c r="A15" s="13"/>
      <c r="B15" s="9" t="s">
        <v>784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54"/>
      <c r="O15" s="54"/>
    </row>
    <row r="16" spans="1:15" x14ac:dyDescent="0.2">
      <c r="A16" s="19"/>
      <c r="B16" s="19">
        <v>9</v>
      </c>
      <c r="C16" s="19" t="s">
        <v>128</v>
      </c>
      <c r="D16" s="19" t="s">
        <v>785</v>
      </c>
      <c r="E16" s="19" t="s">
        <v>786</v>
      </c>
      <c r="F16" s="58">
        <f>COUNTIF('Proekt vaqt va Risk'!L4:L23,"&gt;0")</f>
        <v>19</v>
      </c>
      <c r="G16" s="58">
        <f>SUM('Proekt vaqt va Risk'!L4:L23)</f>
        <v>1044</v>
      </c>
      <c r="H16" s="61">
        <f>IF(F16=0,0,G16/F16)</f>
        <v>54.94736842105263</v>
      </c>
      <c r="I16" s="24">
        <f>'Xodimlar va Soat narxi'!N16</f>
        <v>196482.7441077441</v>
      </c>
      <c r="J16" s="24">
        <f>G16*I16</f>
        <v>205127984.84848484</v>
      </c>
      <c r="K16" s="77">
        <f>IF(Settings!$B$8*42=0,0,G16/(Settings!$B$8*42))</f>
        <v>0.14123376623376624</v>
      </c>
      <c r="L16" s="70" t="str">
        <f>IF(K16&gt;=0.8,"★★★★★",IF(K16&gt;=0.6,"★★★★",IF(K16&gt;=0.4,"★★★",IF(K16&gt;=0.2,"★★","★"))))</f>
        <v>★</v>
      </c>
      <c r="M16" s="19" t="s">
        <v>966</v>
      </c>
      <c r="N16" s="56">
        <f>I16/Settings!$B$4</f>
        <v>15.290485922781642</v>
      </c>
      <c r="O16" s="56">
        <f>J16/Settings!$B$4</f>
        <v>15963.267303384035</v>
      </c>
    </row>
    <row r="17" spans="1:15" x14ac:dyDescent="0.2">
      <c r="A17" s="13"/>
      <c r="B17" s="13">
        <v>10</v>
      </c>
      <c r="C17" s="13" t="s">
        <v>787</v>
      </c>
      <c r="D17" s="13" t="s">
        <v>788</v>
      </c>
      <c r="E17" s="13" t="s">
        <v>786</v>
      </c>
      <c r="F17" s="55">
        <f>COUNTIF('Proekt vaqt va Risk'!M4:M23,"&gt;0")</f>
        <v>17</v>
      </c>
      <c r="G17" s="55">
        <f>SUM('Proekt vaqt va Risk'!M4:M23)</f>
        <v>812</v>
      </c>
      <c r="H17" s="64">
        <f>IF(F17=0,0,G17/F17)</f>
        <v>47.764705882352942</v>
      </c>
      <c r="I17" s="18">
        <f>'Xodimlar va Soat narxi'!N17</f>
        <v>168300.92592592593</v>
      </c>
      <c r="J17" s="18">
        <f>G17*I17</f>
        <v>136660351.85185185</v>
      </c>
      <c r="K17" s="76">
        <f>IF(Settings!$B$8*42=0,0,G17/(Settings!$B$8*42))</f>
        <v>0.10984848484848485</v>
      </c>
      <c r="L17" s="67" t="str">
        <f>IF(K17&gt;=0.8,"★★★★★",IF(K17&gt;=0.6,"★★★★",IF(K17&gt;=0.4,"★★★",IF(K17&gt;=0.2,"★★","★"))))</f>
        <v>★</v>
      </c>
      <c r="M17" s="13" t="s">
        <v>966</v>
      </c>
      <c r="N17" s="56">
        <f>I17/Settings!$B$4</f>
        <v>13.09734832108373</v>
      </c>
      <c r="O17" s="56">
        <f>J17/Settings!$B$4</f>
        <v>10635.046836719988</v>
      </c>
    </row>
    <row r="18" spans="1:15" x14ac:dyDescent="0.2">
      <c r="A18" s="19"/>
      <c r="B18" s="10" t="s">
        <v>789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54"/>
      <c r="O18" s="54"/>
    </row>
    <row r="19" spans="1:15" x14ac:dyDescent="0.2">
      <c r="A19" s="13"/>
      <c r="B19" s="13">
        <v>11</v>
      </c>
      <c r="C19" s="13" t="s">
        <v>790</v>
      </c>
      <c r="D19" s="13" t="s">
        <v>791</v>
      </c>
      <c r="E19" s="13" t="s">
        <v>792</v>
      </c>
      <c r="F19" s="55">
        <f>COUNTIF('Proekt vaqt va Risk'!N4:N23,"&gt;0")</f>
        <v>15</v>
      </c>
      <c r="G19" s="55">
        <f>SUM('Proekt vaqt va Risk'!N4:N23)</f>
        <v>336</v>
      </c>
      <c r="H19" s="64">
        <f>IF(F19=0,0,G19/F19)</f>
        <v>22.4</v>
      </c>
      <c r="I19" s="18">
        <f>'Xodimlar va Soat narxi'!N19</f>
        <v>178869.10774410775</v>
      </c>
      <c r="J19" s="18">
        <f>G19*I19</f>
        <v>60100020.202020206</v>
      </c>
      <c r="K19" s="76">
        <f>IF(Settings!$B$8*42=0,0,G19/(Settings!$B$8*42))</f>
        <v>4.5454545454545456E-2</v>
      </c>
      <c r="L19" s="67" t="str">
        <f>IF(K19&gt;=0.8,"★★★★★",IF(K19&gt;=0.6,"★★★★",IF(K19&gt;=0.4,"★★★",IF(K19&gt;=0.2,"★★","★"))))</f>
        <v>★</v>
      </c>
      <c r="M19" s="13" t="s">
        <v>967</v>
      </c>
      <c r="N19" s="56">
        <f>I19/Settings!$B$4</f>
        <v>13.919774921720448</v>
      </c>
      <c r="O19" s="56">
        <f>J19/Settings!$B$4</f>
        <v>4677.0443736980706</v>
      </c>
    </row>
    <row r="20" spans="1:15" x14ac:dyDescent="0.2">
      <c r="A20" s="19"/>
      <c r="B20" s="19">
        <v>12</v>
      </c>
      <c r="C20" s="19" t="s">
        <v>793</v>
      </c>
      <c r="D20" s="19" t="s">
        <v>794</v>
      </c>
      <c r="E20" s="19" t="s">
        <v>792</v>
      </c>
      <c r="F20" s="58">
        <f>COUNTIF('Proekt vaqt va Risk'!O4:O23,"&gt;0")</f>
        <v>12</v>
      </c>
      <c r="G20" s="58">
        <f>SUM('Proekt vaqt va Risk'!O4:O23)</f>
        <v>264</v>
      </c>
      <c r="H20" s="61">
        <f>IF(F20=0,0,G20/F20)</f>
        <v>22</v>
      </c>
      <c r="I20" s="24">
        <f>'Xodimlar va Soat narxi'!N20</f>
        <v>161255.47138047137</v>
      </c>
      <c r="J20" s="24">
        <f>G20*I20</f>
        <v>42571444.44444444</v>
      </c>
      <c r="K20" s="77">
        <f>IF(Settings!$B$8*42=0,0,G20/(Settings!$B$8*42))</f>
        <v>3.5714285714285712E-2</v>
      </c>
      <c r="L20" s="70" t="str">
        <f>IF(K20&gt;=0.8,"★★★★★",IF(K20&gt;=0.6,"★★★★",IF(K20&gt;=0.4,"★★★",IF(K20&gt;=0.2,"★★","★"))))</f>
        <v>★</v>
      </c>
      <c r="M20" s="19" t="s">
        <v>967</v>
      </c>
      <c r="N20" s="56">
        <f>I20/Settings!$B$4</f>
        <v>12.54906392065925</v>
      </c>
      <c r="O20" s="56">
        <f>J20/Settings!$B$4</f>
        <v>3312.9528750540421</v>
      </c>
    </row>
    <row r="21" spans="1:15" x14ac:dyDescent="0.2">
      <c r="A21" s="13"/>
      <c r="B21" s="9" t="s">
        <v>795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54"/>
      <c r="O21" s="54"/>
    </row>
    <row r="22" spans="1:15" x14ac:dyDescent="0.2">
      <c r="A22" s="19"/>
      <c r="B22" s="19">
        <v>13</v>
      </c>
      <c r="C22" s="19" t="s">
        <v>796</v>
      </c>
      <c r="D22" s="19" t="s">
        <v>797</v>
      </c>
      <c r="E22" s="19" t="s">
        <v>798</v>
      </c>
      <c r="F22" s="58">
        <f>COUNTIF('Proekt vaqt va Risk'!P4:P23,"&gt;0")</f>
        <v>17</v>
      </c>
      <c r="G22" s="58">
        <f>SUM('Proekt vaqt va Risk'!P4:P23)</f>
        <v>440</v>
      </c>
      <c r="H22" s="61">
        <f>IF(F22=0,0,G22/F22)</f>
        <v>25.882352941176471</v>
      </c>
      <c r="I22" s="24">
        <f>'Xodimlar va Soat narxi'!N22</f>
        <v>192960.01683501684</v>
      </c>
      <c r="J22" s="24">
        <f>G22*I22</f>
        <v>84902407.407407403</v>
      </c>
      <c r="K22" s="77">
        <f>IF(Settings!$B$8*42=0,0,G22/(Settings!$B$8*42))</f>
        <v>5.9523809523809521E-2</v>
      </c>
      <c r="L22" s="70" t="str">
        <f>IF(K22&gt;=0.8,"★★★★★",IF(K22&gt;=0.6,"★★★★",IF(K22&gt;=0.4,"★★★",IF(K22&gt;=0.2,"★★","★"))))</f>
        <v>★</v>
      </c>
      <c r="M22" s="19" t="s">
        <v>968</v>
      </c>
      <c r="N22" s="56">
        <f>I22/Settings!$B$4</f>
        <v>15.016343722569404</v>
      </c>
      <c r="O22" s="56">
        <f>J22/Settings!$B$4</f>
        <v>6607.1912379305368</v>
      </c>
    </row>
    <row r="23" spans="1:15" x14ac:dyDescent="0.2">
      <c r="A23" s="13"/>
      <c r="B23" s="9" t="s">
        <v>799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54"/>
      <c r="O23" s="54"/>
    </row>
    <row r="24" spans="1:15" x14ac:dyDescent="0.2">
      <c r="A24" s="19"/>
      <c r="B24" s="19">
        <v>14</v>
      </c>
      <c r="C24" s="19" t="s">
        <v>364</v>
      </c>
      <c r="D24" s="19" t="s">
        <v>800</v>
      </c>
      <c r="E24" s="19" t="s">
        <v>801</v>
      </c>
      <c r="F24" s="58">
        <f>COUNTIF('Proekt vaqt va Risk'!Q4:Q23,"&gt;0")</f>
        <v>16</v>
      </c>
      <c r="G24" s="58">
        <f>SUM('Proekt vaqt va Risk'!Q4:Q23)</f>
        <v>480</v>
      </c>
      <c r="H24" s="61">
        <f>IF(F24=0,0,G24/F24)</f>
        <v>30</v>
      </c>
      <c r="I24" s="24">
        <f>'Xodimlar va Soat narxi'!N24</f>
        <v>214096.38047138049</v>
      </c>
      <c r="J24" s="24">
        <f>G24*I24</f>
        <v>102766262.62626263</v>
      </c>
      <c r="K24" s="77">
        <f>IF(Settings!$B$8*42=0,0,G24/(Settings!$B$8*42))</f>
        <v>6.4935064935064929E-2</v>
      </c>
      <c r="L24" s="70" t="str">
        <f>IF(K24&gt;=0.8,"★★★★★",IF(K24&gt;=0.6,"★★★★",IF(K24&gt;=0.4,"★★★",IF(K24&gt;=0.2,"★★","★"))))</f>
        <v>★</v>
      </c>
      <c r="M24" s="19" t="s">
        <v>969</v>
      </c>
      <c r="N24" s="56">
        <f>I24/Settings!$B$4</f>
        <v>16.661196923842841</v>
      </c>
      <c r="O24" s="56">
        <f>J24/Settings!$B$4</f>
        <v>7997.3745234445632</v>
      </c>
    </row>
    <row r="25" spans="1:15" x14ac:dyDescent="0.2">
      <c r="A25" s="13"/>
      <c r="B25" s="13">
        <v>15</v>
      </c>
      <c r="C25" s="13" t="s">
        <v>802</v>
      </c>
      <c r="D25" s="13" t="s">
        <v>801</v>
      </c>
      <c r="E25" s="13" t="s">
        <v>801</v>
      </c>
      <c r="F25" s="55">
        <f>COUNTIF('Proekt vaqt va Risk'!R4:R23,"&gt;0")</f>
        <v>18</v>
      </c>
      <c r="G25" s="55">
        <f>SUM('Proekt vaqt va Risk'!R4:R23)</f>
        <v>516</v>
      </c>
      <c r="H25" s="64">
        <f>IF(F25=0,0,G25/F25)</f>
        <v>28.666666666666668</v>
      </c>
      <c r="I25" s="18">
        <f>'Xodimlar va Soat narxi'!N25</f>
        <v>203528.19865319866</v>
      </c>
      <c r="J25" s="18">
        <f>G25*I25</f>
        <v>105020550.50505051</v>
      </c>
      <c r="K25" s="76">
        <f>IF(Settings!$B$8*42=0,0,G25/(Settings!$B$8*42))</f>
        <v>6.9805194805194801E-2</v>
      </c>
      <c r="L25" s="67" t="str">
        <f>IF(K25&gt;=0.8,"★★★★★",IF(K25&gt;=0.6,"★★★★",IF(K25&gt;=0.4,"★★★",IF(K25&gt;=0.2,"★★","★"))))</f>
        <v>★</v>
      </c>
      <c r="M25" s="13" t="s">
        <v>969</v>
      </c>
      <c r="N25" s="56">
        <f>I25/Settings!$B$4</f>
        <v>15.838770323206122</v>
      </c>
      <c r="O25" s="56">
        <f>J25/Settings!$B$4</f>
        <v>8172.8054867743585</v>
      </c>
    </row>
    <row r="26" spans="1:15" x14ac:dyDescent="0.2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54"/>
      <c r="O26" s="54"/>
    </row>
    <row r="27" spans="1:15" x14ac:dyDescent="0.2">
      <c r="A27" s="13"/>
      <c r="B27" s="9" t="s">
        <v>970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54"/>
      <c r="O27" s="54"/>
    </row>
    <row r="28" spans="1:15" x14ac:dyDescent="0.2">
      <c r="A28" s="19"/>
      <c r="B28" s="19" t="s">
        <v>702</v>
      </c>
      <c r="C28" s="10" t="s">
        <v>971</v>
      </c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54"/>
      <c r="O28" s="54"/>
    </row>
    <row r="29" spans="1:15" x14ac:dyDescent="0.2">
      <c r="A29" s="13"/>
      <c r="B29" s="13" t="s">
        <v>705</v>
      </c>
      <c r="C29" s="9" t="s">
        <v>972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54"/>
      <c r="O29" s="54"/>
    </row>
    <row r="30" spans="1:15" x14ac:dyDescent="0.2">
      <c r="A30" s="19"/>
      <c r="B30" s="19" t="s">
        <v>707</v>
      </c>
      <c r="C30" s="10" t="s">
        <v>973</v>
      </c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54"/>
      <c r="O30" s="54"/>
    </row>
    <row r="31" spans="1:15" x14ac:dyDescent="0.2">
      <c r="A31" s="13"/>
      <c r="B31" s="13" t="s">
        <v>709</v>
      </c>
      <c r="C31" s="9" t="s">
        <v>974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54"/>
      <c r="O31" s="54"/>
    </row>
    <row r="32" spans="1:15" x14ac:dyDescent="0.2">
      <c r="A32" s="19"/>
      <c r="B32" s="19" t="s">
        <v>711</v>
      </c>
      <c r="C32" s="10" t="s">
        <v>975</v>
      </c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54"/>
      <c r="O32" s="54"/>
    </row>
    <row r="33" spans="1:15" x14ac:dyDescent="0.2">
      <c r="A33" s="13"/>
      <c r="B33" s="13" t="s">
        <v>713</v>
      </c>
      <c r="C33" s="9" t="s">
        <v>976</v>
      </c>
      <c r="D33" s="9"/>
      <c r="E33" s="9"/>
      <c r="F33" s="9"/>
      <c r="G33" s="9"/>
      <c r="H33" s="9"/>
      <c r="I33" s="9"/>
      <c r="J33" s="9"/>
      <c r="K33" s="9"/>
      <c r="L33" s="9"/>
      <c r="M33" s="9"/>
      <c r="N33" s="54"/>
      <c r="O33" s="54"/>
    </row>
    <row r="34" spans="1:15" x14ac:dyDescent="0.2">
      <c r="A34" s="19"/>
      <c r="B34" s="19" t="s">
        <v>715</v>
      </c>
      <c r="C34" s="10" t="s">
        <v>977</v>
      </c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54"/>
      <c r="O34" s="54"/>
    </row>
  </sheetData>
  <autoFilter ref="A3:O34" xr:uid="{00000000-0009-0000-0000-000008000000}"/>
  <mergeCells count="16">
    <mergeCell ref="C34:M34"/>
    <mergeCell ref="C29:M29"/>
    <mergeCell ref="C30:M30"/>
    <mergeCell ref="C31:M31"/>
    <mergeCell ref="C32:M32"/>
    <mergeCell ref="C33:M33"/>
    <mergeCell ref="B18:M18"/>
    <mergeCell ref="B21:M21"/>
    <mergeCell ref="B23:M23"/>
    <mergeCell ref="B27:M27"/>
    <mergeCell ref="C28:M28"/>
    <mergeCell ref="B1:O1"/>
    <mergeCell ref="B4:M4"/>
    <mergeCell ref="B7:M7"/>
    <mergeCell ref="B12:M12"/>
    <mergeCell ref="B15:M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Tushum va Harajatlar</vt:lpstr>
      <vt:lpstr>MIZAN</vt:lpstr>
      <vt:lpstr>Settings</vt:lpstr>
      <vt:lpstr>Xodimlar va Soat narxi</vt:lpstr>
      <vt:lpstr>Texnika va Overhead</vt:lpstr>
      <vt:lpstr>Proekt vaqt va Risk</vt:lpstr>
      <vt:lpstr>Proekt Byudjet</vt:lpstr>
      <vt:lpstr>Dashboard</vt:lpstr>
      <vt:lpstr>Xodimlar 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Jahongir Ikromov</cp:lastModifiedBy>
  <cp:revision>0</cp:revision>
  <dcterms:created xsi:type="dcterms:W3CDTF">2026-02-28T19:46:01Z</dcterms:created>
  <dcterms:modified xsi:type="dcterms:W3CDTF">2026-02-28T20:00:40Z</dcterms:modified>
  <dc:language>en-US</dc:language>
</cp:coreProperties>
</file>